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LNERABILITY ASSESSMENT" sheetId="1" r:id="rId5"/>
    <sheet state="visible" name="Vulns by Asset" sheetId="2" r:id="rId6"/>
    <sheet state="visible" name="Top Vulnerabilities" sheetId="3" r:id="rId7"/>
    <sheet state="visible" name="Severity Distribution" sheetId="4" r:id="rId8"/>
    <sheet state="visible" name="❤️‍🩹 Remediation Lis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<sst xmlns="http://schemas.openxmlformats.org/spreadsheetml/2006/main" count="335" uniqueCount="199">
  <si>
    <t>👑 Asset</t>
  </si>
  <si>
    <t>🌡️ Severity</t>
  </si>
  <si>
    <t>🏆 CVSS</t>
  </si>
  <si>
    <t>🏷️ Nessus ID</t>
  </si>
  <si>
    <t>👋🏼 Name</t>
  </si>
  <si>
    <t>🧨 CVE</t>
  </si>
  <si>
    <t>🛡️ Solution</t>
  </si>
  <si>
    <t>👾 Exploitability</t>
  </si>
  <si>
    <t>💥 Impact</t>
  </si>
  <si>
    <t>🎖️ Priority</t>
  </si>
  <si>
    <r>
      <rPr>
        <rFont val="Roboto Condensed"/>
        <color rgb="FF666666"/>
        <sz val="8.0"/>
      </rPr>
      <t xml:space="preserve">The </t>
    </r>
    <r>
      <rPr>
        <rFont val="Roboto Condensed"/>
        <b/>
        <color rgb="FF666666"/>
        <sz val="8.0"/>
      </rPr>
      <t>hostname</t>
    </r>
    <r>
      <rPr>
        <rFont val="Roboto Condensed"/>
        <color rgb="FF666666"/>
        <sz val="8.0"/>
      </rPr>
      <t xml:space="preserve"> or</t>
    </r>
    <r>
      <rPr>
        <rFont val="Roboto Condensed"/>
        <b/>
        <color rgb="FF666666"/>
        <sz val="8.0"/>
      </rPr>
      <t xml:space="preserve"> IP address</t>
    </r>
    <r>
      <rPr>
        <rFont val="Roboto Condensed"/>
        <color rgb="FF666666"/>
        <sz val="8.0"/>
      </rPr>
      <t xml:space="preserve"> of affected device.</t>
    </r>
  </si>
  <si>
    <t>How dangerous the vulnerability is.</t>
  </si>
  <si>
    <t>The numerical score showing severity (0-10).</t>
  </si>
  <si>
    <t>6-digit unique ID associated with the Nessus plugin for detecting this vuln.</t>
  </si>
  <si>
    <t>The title or description of the vulnerability.</t>
  </si>
  <si>
    <t>The Common Vulnerabilities and Exposures identifier for reference.</t>
  </si>
  <si>
    <t>Recommended actions to fix the issue.</t>
  </si>
  <si>
    <t>The numerical score showing exploitability (0-10).</t>
  </si>
  <si>
    <t>The numerical score showing impact (0-10).</t>
  </si>
  <si>
    <t>Auto-calculated priority</t>
  </si>
  <si>
    <r>
      <rPr>
        <rFont val="Roboto Condensed"/>
        <b/>
        <color rgb="FF999999"/>
        <sz val="7.0"/>
      </rPr>
      <t xml:space="preserve">· </t>
    </r>
    <r>
      <rPr>
        <rFont val="Roboto Condensed"/>
        <color rgb="FF999999"/>
        <sz val="7.0"/>
      </rPr>
      <t xml:space="preserve">The </t>
    </r>
    <r>
      <rPr>
        <rFont val="Roboto Condensed"/>
        <b/>
        <color rgb="FF999999"/>
        <sz val="7.0"/>
      </rPr>
      <t xml:space="preserve">Host Information </t>
    </r>
    <r>
      <rPr>
        <rFont val="Roboto Condensed"/>
        <color rgb="FF999999"/>
        <sz val="7.0"/>
      </rPr>
      <t>section.</t>
    </r>
  </si>
  <si>
    <r>
      <rPr>
        <rFont val="Roboto Condensed"/>
        <b/>
        <color rgb="FF999999"/>
        <sz val="7.0"/>
      </rPr>
      <t>· Risk Factor</t>
    </r>
    <r>
      <rPr>
        <rFont val="Roboto Condensed"/>
        <color rgb="FF999999"/>
        <sz val="7.0"/>
      </rPr>
      <t xml:space="preserve"> section.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</si>
  <si>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CVSS v3.0 Base Score</t>
    </r>
    <r>
      <rPr>
        <rFont val="Roboto Condensed"/>
        <color rgb="FF999999"/>
        <sz val="7.0"/>
      </rPr>
      <t xml:space="preserve"> section.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</si>
  <si>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Plugin ID</t>
    </r>
    <r>
      <rPr>
        <rFont val="Roboto Condensed"/>
        <color rgb="FF999999"/>
        <sz val="7.0"/>
      </rPr>
      <t xml:space="preserve"> field in the vulnerability's title.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</si>
  <si>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Plugin Name</t>
    </r>
    <r>
      <rPr>
        <rFont val="Roboto Condensed"/>
        <color rgb="FF999999"/>
        <sz val="7.0"/>
      </rPr>
      <t xml:space="preserve"> field in the vulnerability's title.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</si>
  <si>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 xml:space="preserve">References </t>
    </r>
    <r>
      <rPr>
        <rFont val="Roboto Condensed"/>
        <color rgb="FF999999"/>
        <sz val="7.0"/>
      </rPr>
      <t xml:space="preserve">section, under the </t>
    </r>
    <r>
      <rPr>
        <rFont val="Roboto Condensed"/>
        <b/>
        <color rgb="FF999999"/>
        <sz val="7.0"/>
      </rPr>
      <t>CVE</t>
    </r>
    <r>
      <rPr>
        <rFont val="Roboto Condensed"/>
        <color rgb="FF999999"/>
        <sz val="7.0"/>
      </rPr>
      <t xml:space="preserve"> field.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</si>
  <si>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Solution</t>
    </r>
    <r>
      <rPr>
        <rFont val="Roboto Condensed"/>
        <color rgb="FF999999"/>
        <sz val="7.0"/>
      </rPr>
      <t xml:space="preserve"> section.</t>
    </r>
  </si>
  <si>
    <r>
      <rPr>
        <rFont val="Roboto Condensed"/>
        <b/>
        <color rgb="FFD5A6BD"/>
        <sz val="7.0"/>
      </rPr>
      <t>ANALYSIS:</t>
    </r>
    <r>
      <rPr>
        <rFont val="Roboto Condensed"/>
        <color rgb="FFD5A6BD"/>
        <sz val="7.0"/>
      </rPr>
      <t xml:space="preserve"> "Assess 👾 Exploitability" task</t>
    </r>
  </si>
  <si>
    <r>
      <rPr>
        <rFont val="Roboto Condensed"/>
        <b/>
        <color rgb="FFD5A6BD"/>
        <sz val="7.0"/>
      </rPr>
      <t>ANALYSIS:</t>
    </r>
    <r>
      <rPr>
        <rFont val="Roboto Condensed"/>
        <color rgb="FFD5A6BD"/>
        <sz val="7.0"/>
      </rPr>
      <t xml:space="preserve"> "Assess 💥 Impact" task</t>
    </r>
  </si>
  <si>
    <r>
      <rPr>
        <rFont val="Roboto Condensed"/>
        <b/>
        <color rgb="FFD5A6BD"/>
        <sz val="7.0"/>
      </rPr>
      <t>ANALYSIS:</t>
    </r>
    <r>
      <rPr>
        <rFont val="Roboto Condensed"/>
        <color rgb="FFD5A6BD"/>
        <sz val="7.0"/>
      </rPr>
      <t xml:space="preserve"> "Assessing your vulns' 🎖️ Priority ranking" task</t>
    </r>
  </si>
  <si>
    <t>10.20.30.10 (megaquagga.local)</t>
  </si>
  <si>
    <t>Critical</t>
  </si>
  <si>
    <t>58987</t>
  </si>
  <si>
    <t>PHP Unsupported Version Detected</t>
  </si>
  <si>
    <t>N/A</t>
  </si>
  <si>
    <t>Upgrade to a version of PHP that is currently supported.</t>
  </si>
  <si>
    <t>200162</t>
  </si>
  <si>
    <t>PHP 8.2x &lt; 8.2.20 Multiple Vulnerabilities</t>
  </si>
  <si>
    <t>CVE-2024-4577, CVE-2024-5458, CVE-2024-5585</t>
  </si>
  <si>
    <t>Upgrade to PHP version 8.2.20 or later.</t>
  </si>
  <si>
    <t>179906</t>
  </si>
  <si>
    <t>PHP 8.2x &lt; 8.2.9 Multiple Vulnerabilities</t>
  </si>
  <si>
    <t>CVE-2023-3823, CVE-2023-3824</t>
  </si>
  <si>
    <t>Upgrade to PHP version 8.2.9 or later.</t>
  </si>
  <si>
    <t>211671</t>
  </si>
  <si>
    <t>PHP 8.2x &lt; 8.2.26 Multiple Vulnerabilities</t>
  </si>
  <si>
    <t>CVE-2024-8929, CVE-2024-8932, CVE-2024-11233, CVE-2024-11234, CVE-2024-11236</t>
  </si>
  <si>
    <t>Upgrade to PHP version 8.2.26 or later.</t>
  </si>
  <si>
    <t>High</t>
  </si>
  <si>
    <t>207822</t>
  </si>
  <si>
    <t>PHP 8.2.x &lt; 8.2.24 Multiple Vulnerabilities</t>
  </si>
  <si>
    <t>CVE-2024-8925, CVE-2024-8926, CVE-2024-8927, CVE-2024-9026</t>
  </si>
  <si>
    <t>Upgrade to PHP version 8.2.24 or later.</t>
  </si>
  <si>
    <t>232707</t>
  </si>
  <si>
    <t>PHP 8.2.x &lt; 8.2.28 Multiple Vulnerabilities</t>
  </si>
  <si>
    <t>CVE-2025-1217, CVE-2025-1219, CVE-2025-1734, CVE-2025-1736, CVE-2025-1861</t>
  </si>
  <si>
    <t>Upgrade to PHP version 8.2.28 or later.</t>
  </si>
  <si>
    <t>241291</t>
  </si>
  <si>
    <t>PHP 8.2.x &lt; 8.2.29 Multiple Vulnerabilities</t>
  </si>
  <si>
    <t>CVE-2025-1220, CVE-2025-1735, CVE-2025-6491</t>
  </si>
  <si>
    <t>Upgrade to PHP version 8.2.29 or later.</t>
  </si>
  <si>
    <t>279274</t>
  </si>
  <si>
    <t>PHP 8.2.x &lt; 8.2.30 Multiple Vulnerabilities</t>
  </si>
  <si>
    <t>CVE-2025-14177, CVE-2025-14178, CVE-2025-14180</t>
  </si>
  <si>
    <t>Upgrade to PHP version 8.2.30 or later.</t>
  </si>
  <si>
    <t>142591</t>
  </si>
  <si>
    <t>PHP &lt; 7.3.24 Multiple Vulnerabilities</t>
  </si>
  <si>
    <t>Upgrade to PHP version 7.3.24 or later.</t>
  </si>
  <si>
    <t>Medium</t>
  </si>
  <si>
    <t>193191</t>
  </si>
  <si>
    <t>PHP 8.2.x &lt; 8.2.18 Multiple Vulnerabilities</t>
  </si>
  <si>
    <t>CVE-2022-31629, CVE-2024-1874, CVE-2024-2756, CVE-2024-3096</t>
  </si>
  <si>
    <t>Upgrade to PHP version 8.2.18 or later.</t>
  </si>
  <si>
    <t>152853</t>
  </si>
  <si>
    <t>PHP &lt; 7.3.28 Email Header Injection</t>
  </si>
  <si>
    <t>Upgrade to PHP version 7.3.28 or later.</t>
  </si>
  <si>
    <t>10.20.30.11</t>
  </si>
  <si>
    <t>42873</t>
  </si>
  <si>
    <t>SSL Medium Strength Cipher Suites Supported (SWEET32)</t>
  </si>
  <si>
    <t>CVE-2016-2183</t>
  </si>
  <si>
    <t>Reconfigure the affected application if possible to avoid use of medium strength ciphers.</t>
  </si>
  <si>
    <t>51192</t>
  </si>
  <si>
    <t>SSL Certificate Cannot Be Trusted</t>
  </si>
  <si>
    <t>Purchase or generate a proper SSL certificate for this service.</t>
  </si>
  <si>
    <t>57582</t>
  </si>
  <si>
    <t>SSL Self-Signed Certificate</t>
  </si>
  <si>
    <t>57608</t>
  </si>
  <si>
    <t>SMB Signing not required</t>
  </si>
  <si>
    <t>Enforce message signing in the host's configuration. On Windows, this is found in the policy setting 'Microsoft network server: Digitally sign communications (always)'. On Samba, the setting is called 'server signing'. See the 'see also' links for further details.</t>
  </si>
  <si>
    <t>Low</t>
  </si>
  <si>
    <t>10114</t>
  </si>
  <si>
    <t>ICMP Timestamp Request Remote Date Disclosure</t>
  </si>
  <si>
    <t>CVE-1999-0524</t>
  </si>
  <si>
    <t>Filter out the ICMP timestamp requests (13), and the outgoing ICMP timestamp replies (14).</t>
  </si>
  <si>
    <t>10.20.30.12</t>
  </si>
  <si>
    <t>270678</t>
  </si>
  <si>
    <t>Ubuntu 14.04 LTS / 16.04 LTS / 18.04 LTS / 20.04 LTS / 24.04 LTS / 25.04 / 25.10 : Redis vulnerability (USN-7824-1)</t>
  </si>
  <si>
    <t>CVE-2025-49844</t>
  </si>
  <si>
    <t>Update the affected packages.</t>
  </si>
  <si>
    <t>297660</t>
  </si>
  <si>
    <t>Ubuntu 22.04 LTS / 24.04 LTS / 25.10 : Inetutils vulnerability (USN-7992-1)</t>
  </si>
  <si>
    <t>CVE-2026-24061</t>
  </si>
  <si>
    <t>234681</t>
  </si>
  <si>
    <t>Ubuntu 14.04 LTS / 16.04 LTS / 18.04 LTS / 20.04 LTS / 22.04 LTS / 24.04 LTS : Eclipse Mosquitto vulnerabilities (USN-7441-1)</t>
  </si>
  <si>
    <t xml:space="preserve"> CVE-2024-3935, CVE-2024-10525</t>
  </si>
  <si>
    <t>288869</t>
  </si>
  <si>
    <t>Ubuntu 14.04 LTS / 16.04 LTS / 18.04 LTS / 20.04 LTS / 22.04 LTS / 24.04 LTS / 25.04 / 25.10 : klibc vulnerabilities (USN-7959-1)</t>
  </si>
  <si>
    <t>CVE-2016-9843</t>
  </si>
  <si>
    <t>Update the affected klibc-utils, libklibc and / or libklibc-dev packages.</t>
  </si>
  <si>
    <t>261428</t>
  </si>
  <si>
    <t>Ubuntu 18.04 LTS / 20.04 LTS / 22.04 LTS / 24.04 LTS / 25.04 : Ruby vulnerabilities (USN-7734-1)</t>
  </si>
  <si>
    <t>216780</t>
  </si>
  <si>
    <t>Ubuntu 14.04 LTS / 16.04 LTS / 18.04 LTS / 20.04 LTS / 22.04 LTS / 24.04 LTS / 24.10 : libxml2 vulnerabilities (USN-7302-1)</t>
  </si>
  <si>
    <t>CVE-2022-49043, CVE-2024-34459, CVE-2024-56171, CVE-2025-24928, CVE-2025-27113</t>
  </si>
  <si>
    <t>205548</t>
  </si>
  <si>
    <t>Ubuntu 20.04 LTS / 22.04 LTS / 24.04 LTS : BusyBox vulnerabilities (USN-6961-1)</t>
  </si>
  <si>
    <t>CVE-2022-48174, CVE-2023-42363, CVE-2023-42364, CVE-2023-42365</t>
  </si>
  <si>
    <t>209121</t>
  </si>
  <si>
    <t>Ubuntu 14.04 LTS / 16.04 LTS / 18.04 LTS / 20.04 LTS / 22.04 LTS / 24.04 LTS : libarchive vulnerabilities (USN-7070-1)</t>
  </si>
  <si>
    <t>CVE-2022-36227, CVE-2024-48957, CVE-2024-48958</t>
  </si>
  <si>
    <t>211522</t>
  </si>
  <si>
    <t>Ubuntu 16.04 LTS / 18.04 LTS / 20.04 LTS / 22.04 LTS / 24.04 LTS : GLib vulnerability (USN-7114-1)</t>
  </si>
  <si>
    <t>CVE-2024-52533</t>
  </si>
  <si>
    <t>234343</t>
  </si>
  <si>
    <t>Ubuntu 22.04 LTS / 24.04 LTS / 24.10 : Perl vulnerability (USN-7434-1)</t>
  </si>
  <si>
    <t>CVE-2024-56406</t>
  </si>
  <si>
    <t>265698</t>
  </si>
  <si>
    <t>Ubuntu 18.04 LTS / 20.04 LTS / 22.04 LTS / 24.04 LTS / 25.04 : OpenJPEG vulnerabilities (USN-7757-1)</t>
  </si>
  <si>
    <t>CVE-2025-50952, CVE-2025-54874</t>
  </si>
  <si>
    <t>241063</t>
  </si>
  <si>
    <t>Ubuntu 22.04 LTS / 24.04 LTS / 24.10 / 25.04 : libarchive vulnerabilities (USN-7601-1)</t>
  </si>
  <si>
    <t>CVE-2025-5914, CVE-2025-5915, CVE-2025-5916, CVE-2025-5917</t>
  </si>
  <si>
    <t>233470</t>
  </si>
  <si>
    <t>Ubuntu 20.04 LTS / 22.04 LTS / 24.04 LTS / 24.10 : Ghostscript vulnerabilities (USN-7378-1)</t>
  </si>
  <si>
    <t>CVE-2025-27830, CVE-2025-27831, CVE-2025-27832, CVE-2025-27833, CVE-2025-27834, CVE-2025-27835, CVE-2025-27836</t>
  </si>
  <si>
    <t>233831</t>
  </si>
  <si>
    <t>Ubuntu 24.04 LTS / 24.10 : XZ Utils vulnerability (USN-7414-1)</t>
  </si>
  <si>
    <t>CVE-2025-31115</t>
  </si>
  <si>
    <t>265092</t>
  </si>
  <si>
    <t>Ubuntu 24.04 LTS / 25.04 : SQLite vulnerability (USN-7751-1)</t>
  </si>
  <si>
    <t>CVE-2025-7709</t>
  </si>
  <si>
    <t>213189</t>
  </si>
  <si>
    <t>Ubuntu 20.04 LTS / 22.04 LTS / 24.04 LTS / 24.10 : GStreamer vulnerability (USN-7174-1)</t>
  </si>
  <si>
    <t>CVE-2024-47606</t>
  </si>
  <si>
    <t>207059</t>
  </si>
  <si>
    <t>Ubuntu 14.04 LTS / 16.04 LTS / 18.04 LTS / 20.04 LTS / 24.04 LTS : Expat vulnerabilities (USN-7000-1)</t>
  </si>
  <si>
    <t>CVE-2024-45490, CVE-2024-45491, CVE-2024-45492</t>
  </si>
  <si>
    <t>243033</t>
  </si>
  <si>
    <t>Ubuntu 22.04 LTS / 24.04 LTS / 25.04 : SQLite vulnerability (USN-7676-1)</t>
  </si>
  <si>
    <t>CVE-2025-6965</t>
  </si>
  <si>
    <t>282466</t>
  </si>
  <si>
    <t>Ubuntu 14.04 LTS / 16.04 LTS / 18.04 LTS / 20.04 LTS / 22.04 LTS / 24.04 LTS / 25.04 / 25.10 : Net-SNMP vulnerability (USN-7944-1)</t>
  </si>
  <si>
    <t>CVE-2025-68615</t>
  </si>
  <si>
    <t>240210</t>
  </si>
  <si>
    <t>Ubuntu 24.04 LTS / 24.10 / 25.04 : Python vulnerabilities (USN-7583-1)</t>
  </si>
  <si>
    <t>CVE-2024-12718, CVE-2025-4138, CVE-2025-4330, CVE-2025-4435, CVE-2025-4517</t>
  </si>
  <si>
    <t>204924</t>
  </si>
  <si>
    <t>Ubuntu 20.04 LTS / 22.04 LTS / 24.04 LTS : OpenSSL vulnerabilities (USN-6937-1)</t>
  </si>
  <si>
    <t>CVE-2024-2511, CVE-2024-4603, CVE-2024-4741, CVE-2024-5535</t>
  </si>
  <si>
    <t>205195</t>
  </si>
  <si>
    <t>Ubuntu 14.04 LTS / 16.04 LTS / 18.04 LTS / 20.04 LTS / 22.04 LTS / 24.04 LTS : Kerberos vulnerabilities (USN-6947-1)</t>
  </si>
  <si>
    <t>CVE-2024-37370, CVE-2024-37371</t>
  </si>
  <si>
    <t>214997</t>
  </si>
  <si>
    <t>Ubuntu 14.04 LTS / 16.04 LTS / 18.04 LTS / 20.04 LTS / 22.04 LTS / 24.04 LTS / 24.10 : Kerberos vulnerability (USN-7257-1)</t>
  </si>
  <si>
    <t>CVE-2024-3596</t>
  </si>
  <si>
    <t>241066</t>
  </si>
  <si>
    <t>Ubuntu 22.04 LTS / 24.04 LTS / 24.10 / 25.04 : Sudo vulnerabilities (USN-7604-1)</t>
  </si>
  <si>
    <t>CVE-2025-32462, CVE-2025-32463</t>
  </si>
  <si>
    <t>Update the affected libnss-sudo, sudo and / or sudo-ldap packages.</t>
  </si>
  <si>
    <t>214801</t>
  </si>
  <si>
    <t>Ubuntu 18.04 LTS / 20.04 LTS / 22.04 LTS / 24.04 LTS / 24.10 : Jinja2 vulnerabilities (USN-7244-1)</t>
  </si>
  <si>
    <t>CVE-2024-56201, CVE-2024-56326</t>
  </si>
  <si>
    <t>Update the affected python-jinja2 and / or python3-jinja2 packages.</t>
  </si>
  <si>
    <t>211997</t>
  </si>
  <si>
    <t>Ubuntu 20.04 LTS / 22.04 LTS / 24.04 LTS / 24.10 : PostgreSQL vulnerabilities (USN-7132-1)</t>
  </si>
  <si>
    <t>CVE-2024-10976, CVE-2024-10977, CVE-2024-10978, CVE-2024-10979</t>
  </si>
  <si>
    <t>207058</t>
  </si>
  <si>
    <t>Ubuntu 14.04 LTS / 16.04 LTS / 18.04 LTS / 20.04 LTS / 22.04 LTS / 24.04 LTS : Setuptools vulnerability (USN-7002-1)</t>
  </si>
  <si>
    <t>CVE-2024-6345</t>
  </si>
  <si>
    <t>266308</t>
  </si>
  <si>
    <t>Ubuntu 14.04 LTS / 16.04 LTS / 18.04 LTS / 20.04 LTS / 22.04 LTS / 24.04 LTS / 25.04 : LibTIFF vulnerabilities (USN-7783-1)</t>
  </si>
  <si>
    <t>CVE-2025-8961, CVE-2025-9165, CVE-2025-9900</t>
  </si>
  <si>
    <t>212270</t>
  </si>
  <si>
    <t>Ubuntu 16.04 LTS / 18.04 LTS / 20.04 LTS / 22.04 LTS / 24.04 LTS / 24.10 : Intel Microcode vulnerabilities (USN-7149-1)</t>
  </si>
  <si>
    <t>CVE-2024-21820, CVE-2024-21853, CVE-2024-23918, CVE-2024-23984, CVE-2024-24968</t>
  </si>
  <si>
    <t>Update the affected intel-microcode package.</t>
  </si>
  <si>
    <t>243039</t>
  </si>
  <si>
    <t>Ubuntu 16.04 LTS / 18.04 LTS / 20.04 LTS / 22.04 LTS / 24.04 LTS / 25.04 : cloud-init vulnerabilities (USN-7677-1)</t>
  </si>
  <si>
    <t>CVE-2024-6174, CVE-2024-11584</t>
  </si>
  <si>
    <t>241622</t>
  </si>
  <si>
    <t>Ubuntu 16.04 LTS / 18.04 LTS / 20.04 LTS / 22.04 LTS / 24.04 LTS / 24.10 / 25.04 : Git vulnerabilities (USN-7626-1)</t>
  </si>
  <si>
    <t>CVE-2025-27613, CVE-2025-27614, CVE-2025-46835, CVE-2025-48384, CVE-2025-48385, CVE-2025-48386</t>
  </si>
  <si>
    <t>Asset</t>
  </si>
  <si>
    <t>Vuln count</t>
  </si>
  <si>
    <t>Grand Total</t>
  </si>
  <si>
    <t>Severity</t>
  </si>
  <si>
    <t>Count</t>
  </si>
  <si>
    <t>Informational</t>
  </si>
  <si>
    <t>❤️‍🩹 Remediation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</si>
</sst>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Roboto"/>
      <scheme val="minor"/>
    </font>
    <font>
      <b/>
      <color rgb="FFFFFFFF"/>
      <name val="Roboto Condensed"/>
    </font>
    <font>
      <sz val="8.0"/>
      <color rgb="FF666666"/>
      <name val="Roboto Condensed"/>
    </font>
    <font>
      <sz val="8.0"/>
      <color rgb="FFA64D79"/>
      <name val="Roboto Condensed"/>
    </font>
    <font>
      <sz val="7.0"/>
      <color rgb="FF999999"/>
      <name val="Roboto Condensed"/>
    </font>
    <font>
      <sz val="7.0"/>
      <color rgb="FFD5A6BD"/>
      <name val="Roboto Condensed"/>
    </font>
    <font>
      <color theme="1"/>
      <name val="Roboto Condensed"/>
    </font>
    <font>
      <color rgb="FF333333"/>
      <name val="&quot;Open Sans&quot;"/>
    </font>
    <font>
      <color theme="1"/>
      <name val="Roboto"/>
    </font>
    <font>
      <b/>
      <color theme="1"/>
      <name val="Roboto Condensed"/>
    </font>
    <font>
      <sz val="10.0"/>
      <color rgb="FF000000"/>
      <name val="Roboto Condensed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164" xfId="0" applyAlignment="1" applyFont="1" applyNumberFormat="1">
      <alignment readingOrder="0" shrinkToFit="0" vertical="top" wrapText="1"/>
    </xf>
    <xf borderId="0" fillId="2" fontId="1" numFmtId="49" xfId="0" applyAlignment="1" applyFont="1" applyNumberFormat="1">
      <alignment readingOrder="0" shrinkToFit="0" vertical="top" wrapText="1"/>
    </xf>
    <xf borderId="0" fillId="2" fontId="1" numFmtId="164" xfId="0" applyAlignment="1" applyFont="1" applyNumberForma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49" xfId="0" applyAlignment="1" applyFont="1" applyNumberForma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readingOrder="0" shrinkToFit="0" vertical="top" wrapText="1"/>
    </xf>
    <xf borderId="0" fillId="0" fontId="4" numFmtId="49" xfId="0" applyAlignment="1" applyFont="1" applyNumberFormat="1">
      <alignment readingOrder="0" shrinkToFit="0" vertical="top" wrapText="1"/>
    </xf>
    <xf borderId="0" fillId="0" fontId="5" numFmtId="164" xfId="0" applyAlignment="1" applyFont="1" applyNumberFormat="1">
      <alignment readingOrder="0" shrinkToFit="0" vertical="top" wrapText="1"/>
    </xf>
    <xf borderId="0" fillId="0" fontId="5" numFmtId="164" xfId="0" applyAlignment="1" applyFont="1" applyNumberForma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164" xfId="0" applyAlignment="1" applyFont="1" applyNumberFormat="1">
      <alignment readingOrder="0" shrinkToFit="0" vertical="top" wrapText="1"/>
    </xf>
    <xf borderId="0" fillId="0" fontId="6" numFmtId="49" xfId="0" applyAlignment="1" applyFont="1" applyNumberFormat="1">
      <alignment readingOrder="0" shrinkToFit="0" vertical="top" wrapText="1"/>
    </xf>
    <xf borderId="0" fillId="0" fontId="6" numFmtId="164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164" xfId="0" applyAlignment="1" applyFont="1" applyNumberFormat="1">
      <alignment readingOrder="0" shrinkToFit="0" vertical="top" wrapText="1"/>
    </xf>
    <xf borderId="0" fillId="0" fontId="6" numFmtId="164" xfId="0" applyAlignment="1" applyFont="1" applyNumberFormat="1">
      <alignment readingOrder="0" shrinkToFit="0" vertical="top" wrapText="1"/>
    </xf>
    <xf borderId="0" fillId="0" fontId="6" numFmtId="0" xfId="0" applyFont="1"/>
    <xf borderId="0" fillId="0" fontId="8" numFmtId="0" xfId="0" applyAlignment="1" applyFont="1">
      <alignment vertical="bottom"/>
    </xf>
    <xf borderId="0" fillId="2" fontId="1" numFmtId="0" xfId="0" applyAlignment="1" applyFont="1">
      <alignment shrinkToFit="0" vertical="top" wrapText="1"/>
    </xf>
    <xf borderId="0" fillId="2" fontId="1" numFmtId="49" xfId="0" applyAlignment="1" applyFont="1" applyNumberFormat="1">
      <alignment shrinkToFit="0" vertical="top" wrapText="1"/>
    </xf>
    <xf borderId="0" fillId="0" fontId="6" numFmtId="0" xfId="0" applyAlignment="1" applyFont="1">
      <alignment vertical="top"/>
    </xf>
    <xf borderId="0" fillId="0" fontId="6" numFmtId="49" xfId="0" applyAlignment="1" applyFont="1" applyNumberFormat="1">
      <alignment shrinkToFit="0" vertical="top" wrapText="1"/>
    </xf>
    <xf borderId="0" fillId="0" fontId="6" numFmtId="164" xfId="0" applyAlignment="1" applyFont="1" applyNumberFormat="1">
      <alignment horizontal="right" shrinkToFit="0" vertical="top" wrapText="1"/>
    </xf>
    <xf borderId="0" fillId="0" fontId="9" numFmtId="0" xfId="0" applyAlignment="1" applyFont="1">
      <alignment vertical="top"/>
    </xf>
    <xf borderId="0" fillId="0" fontId="6" numFmtId="49" xfId="0" applyAlignment="1" applyFont="1" applyNumberFormat="1">
      <alignment vertical="top"/>
    </xf>
    <xf borderId="0" fillId="0" fontId="6" numFmtId="164" xfId="0" applyAlignment="1" applyFont="1" applyNumberFormat="1">
      <alignment vertical="top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0" numFmtId="49" xfId="0" applyAlignment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Vulnerabilities by Asset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'Vulns by Asset'!$B$1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'Vulns by Asset'!$A$2:$A$4</c:f>
            </c:strRef>
          </c:cat>
          <c:val>
            <c:numRef>
              <c:f>'Vulns by Asset'!$B$2:$B$4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Vulnerabilities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Vulnerabilities'!$H$1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36"/>
          </c:dPt>
          <c:dPt>
            <c:idx val="37"/>
          </c:dPt>
          <c:dPt>
            <c:idx val="38"/>
          </c:dPt>
          <c:cat>
            <c:strRef>
              <c:f>'Top Vulnerabilities'!$B$2:$B$1000</c:f>
            </c:strRef>
          </c:cat>
          <c:val>
            <c:numRef>
              <c:f>'Top Vulnerabilities'!$H$2:$H$1000</c:f>
              <c:numCache/>
            </c:numRef>
          </c:val>
        </c:ser>
        <c:ser>
          <c:idx val="1"/>
          <c:order val="1"/>
          <c:tx>
            <c:strRef>
              <c:f>'Top Vulnerabilities'!$C$1</c:f>
            </c:strRef>
          </c:tx>
          <c:cat>
            <c:strRef>
              <c:f>'Top Vulnerabilities'!$B$2:$B$1000</c:f>
            </c:strRef>
          </c:cat>
          <c:val>
            <c:numRef>
              <c:f>'Top Vulnerabilities'!$C$2:$C$1000</c:f>
              <c:numCache/>
            </c:numRef>
          </c:val>
        </c:ser>
        <c:ser>
          <c:idx val="2"/>
          <c:order val="2"/>
          <c:tx>
            <c:strRef>
              <c:f>'Top Vulnerabilities'!$D$1</c:f>
            </c:strRef>
          </c:tx>
          <c:cat>
            <c:strRef>
              <c:f>'Top Vulnerabilities'!$B$2:$B$1000</c:f>
            </c:strRef>
          </c:cat>
          <c:val>
            <c:numRef>
              <c:f>'Top Vulnerabilities'!$D$2:$D$1000</c:f>
              <c:numCache/>
            </c:numRef>
          </c:val>
        </c:ser>
        <c:ser>
          <c:idx val="3"/>
          <c:order val="3"/>
          <c:tx>
            <c:strRef>
              <c:f>'Top Vulnerabilities'!$E$1</c:f>
            </c:strRef>
          </c:tx>
          <c:cat>
            <c:strRef>
              <c:f>'Top Vulnerabilities'!$B$2:$B$1000</c:f>
            </c:strRef>
          </c:cat>
          <c:val>
            <c:numRef>
              <c:f>'Top Vulnerabilities'!$E$2:$E$1000</c:f>
              <c:numCache/>
            </c:numRef>
          </c:val>
        </c:ser>
        <c:ser>
          <c:idx val="4"/>
          <c:order val="4"/>
          <c:tx>
            <c:strRef>
              <c:f>'Top Vulnerabilities'!$F$1</c:f>
            </c:strRef>
          </c:tx>
          <c:cat>
            <c:strRef>
              <c:f>'Top Vulnerabilities'!$B$2:$B$1000</c:f>
            </c:strRef>
          </c:cat>
          <c:val>
            <c:numRef>
              <c:f>'Top Vulnerabilities'!$F$2:$F$1000</c:f>
              <c:numCache/>
            </c:numRef>
          </c:val>
        </c:ser>
        <c:ser>
          <c:idx val="5"/>
          <c:order val="5"/>
          <c:tx>
            <c:strRef>
              <c:f>'Top Vulnerabilities'!$G$1</c:f>
            </c:strRef>
          </c:tx>
          <c:cat>
            <c:strRef>
              <c:f>'Top Vulnerabilities'!$B$2:$B$1000</c:f>
            </c:strRef>
          </c:cat>
          <c:val>
            <c:numRef>
              <c:f>'Top Vulnerabilities'!$G$2:$G$1000</c:f>
              <c:numCache/>
            </c:numRef>
          </c:val>
        </c:ser>
        <c:ser>
          <c:idx val="6"/>
          <c:order val="6"/>
          <c:tx>
            <c:strRef>
              <c:f>'Top Vulnerabilities'!$H$1</c:f>
            </c:strRef>
          </c:tx>
          <c:cat>
            <c:strRef>
              <c:f>'Top Vulnerabilities'!$B$2:$B$1000</c:f>
            </c:strRef>
          </c:cat>
          <c:val>
            <c:numRef>
              <c:f>'Top Vulnerabilities'!$H$2:$H$1000</c:f>
              <c:numCache/>
            </c:numRef>
          </c:val>
        </c:ser>
        <c:ser>
          <c:idx val="7"/>
          <c:order val="7"/>
          <c:tx>
            <c:strRef>
              <c:f>'Top Vulnerabilities'!$I$1</c:f>
            </c:strRef>
          </c:tx>
          <c:cat>
            <c:strRef>
              <c:f>'Top Vulnerabilities'!$B$2:$B$1000</c:f>
            </c:strRef>
          </c:cat>
          <c:val>
            <c:numRef>
              <c:f>'Top Vulnerabilities'!$I$2:$I$1000</c:f>
              <c:numCache/>
            </c:numRef>
          </c:val>
        </c:ser>
        <c:ser>
          <c:idx val="8"/>
          <c:order val="8"/>
          <c:tx>
            <c:strRef>
              <c:f>'Top Vulnerabilities'!$J$1</c:f>
            </c:strRef>
          </c:tx>
          <c:cat>
            <c:strRef>
              <c:f>'Top Vulnerabilities'!$B$2:$B$1000</c:f>
            </c:strRef>
          </c:cat>
          <c:val>
            <c:numRef>
              <c:f>'Top Vulnerabilities'!$J$2:$J$1000</c:f>
              <c:numCache/>
            </c:numRef>
          </c:val>
        </c:ser>
        <c:ser>
          <c:idx val="9"/>
          <c:order val="9"/>
          <c:tx>
            <c:strRef>
              <c:f>'Top Vulnerabilities'!$K$1</c:f>
            </c:strRef>
          </c:tx>
          <c:cat>
            <c:strRef>
              <c:f>'Top Vulnerabilities'!$B$2:$B$1000</c:f>
            </c:strRef>
          </c:cat>
          <c:val>
            <c:numRef>
              <c:f>'Top Vulnerabilities'!$K$2:$K$1000</c:f>
              <c:numCache/>
            </c:numRef>
          </c:val>
        </c:ser>
        <c:ser>
          <c:idx val="10"/>
          <c:order val="10"/>
          <c:tx>
            <c:strRef>
              <c:f>'Top Vulnerabilities'!$L$1</c:f>
            </c:strRef>
          </c:tx>
          <c:cat>
            <c:strRef>
              <c:f>'Top Vulnerabilities'!$B$2:$B$1000</c:f>
            </c:strRef>
          </c:cat>
          <c:val>
            <c:numRef>
              <c:f>'Top Vulnerabilities'!$L$2:$L$1000</c:f>
              <c:numCache/>
            </c:numRef>
          </c:val>
        </c:ser>
        <c:ser>
          <c:idx val="11"/>
          <c:order val="11"/>
          <c:tx>
            <c:strRef>
              <c:f>'Top Vulnerabilities'!$M$1</c:f>
            </c:strRef>
          </c:tx>
          <c:cat>
            <c:strRef>
              <c:f>'Top Vulnerabilities'!$B$2:$B$1000</c:f>
            </c:strRef>
          </c:cat>
          <c:val>
            <c:numRef>
              <c:f>'Top Vulnerabilities'!$M$2:$M$1000</c:f>
              <c:numCache/>
            </c:numRef>
          </c:val>
        </c:ser>
        <c:ser>
          <c:idx val="12"/>
          <c:order val="12"/>
          <c:tx>
            <c:strRef>
              <c:f>'Top Vulnerabilities'!$N$1</c:f>
            </c:strRef>
          </c:tx>
          <c:cat>
            <c:strRef>
              <c:f>'Top Vulnerabilities'!$B$2:$B$1000</c:f>
            </c:strRef>
          </c:cat>
          <c:val>
            <c:numRef>
              <c:f>'Top Vulnerabilities'!$N$2:$N$1000</c:f>
              <c:numCache/>
            </c:numRef>
          </c:val>
        </c:ser>
        <c:ser>
          <c:idx val="13"/>
          <c:order val="13"/>
          <c:tx>
            <c:strRef>
              <c:f>'Top Vulnerabilities'!$O$1</c:f>
            </c:strRef>
          </c:tx>
          <c:cat>
            <c:strRef>
              <c:f>'Top Vulnerabilities'!$B$2:$B$1000</c:f>
            </c:strRef>
          </c:cat>
          <c:val>
            <c:numRef>
              <c:f>'Top Vulnerabilities'!$O$2:$O$1000</c:f>
              <c:numCache/>
            </c:numRef>
          </c:val>
        </c:ser>
        <c:ser>
          <c:idx val="14"/>
          <c:order val="14"/>
          <c:tx>
            <c:strRef>
              <c:f>'Top Vulnerabilities'!$P$1</c:f>
            </c:strRef>
          </c:tx>
          <c:cat>
            <c:strRef>
              <c:f>'Top Vulnerabilities'!$B$2:$B$1000</c:f>
            </c:strRef>
          </c:cat>
          <c:val>
            <c:numRef>
              <c:f>'Top Vulnerabilities'!$P$2:$P$1000</c:f>
              <c:numCache/>
            </c:numRef>
          </c:val>
        </c:ser>
        <c:ser>
          <c:idx val="15"/>
          <c:order val="15"/>
          <c:tx>
            <c:strRef>
              <c:f>'Top Vulnerabilities'!$Q$1</c:f>
            </c:strRef>
          </c:tx>
          <c:cat>
            <c:strRef>
              <c:f>'Top Vulnerabilities'!$B$2:$B$1000</c:f>
            </c:strRef>
          </c:cat>
          <c:val>
            <c:numRef>
              <c:f>'Top Vulnerabilities'!$Q$2:$Q$1000</c:f>
              <c:numCache/>
            </c:numRef>
          </c:val>
        </c:ser>
        <c:ser>
          <c:idx val="16"/>
          <c:order val="16"/>
          <c:tx>
            <c:strRef>
              <c:f>'Top Vulnerabilities'!$R$1</c:f>
            </c:strRef>
          </c:tx>
          <c:cat>
            <c:strRef>
              <c:f>'Top Vulnerabilities'!$B$2:$B$1000</c:f>
            </c:strRef>
          </c:cat>
          <c:val>
            <c:numRef>
              <c:f>'Top Vulnerabilities'!$R$2:$R$1000</c:f>
              <c:numCache/>
            </c:numRef>
          </c:val>
        </c:ser>
        <c:ser>
          <c:idx val="17"/>
          <c:order val="17"/>
          <c:tx>
            <c:strRef>
              <c:f>'Top Vulnerabilities'!$S$1</c:f>
            </c:strRef>
          </c:tx>
          <c:cat>
            <c:strRef>
              <c:f>'Top Vulnerabilities'!$B$2:$B$1000</c:f>
            </c:strRef>
          </c:cat>
          <c:val>
            <c:numRef>
              <c:f>'Top Vulnerabilities'!$S$2:$S$1000</c:f>
              <c:numCache/>
            </c:numRef>
          </c:val>
        </c:ser>
        <c:ser>
          <c:idx val="18"/>
          <c:order val="18"/>
          <c:tx>
            <c:strRef>
              <c:f>'Top Vulnerabilities'!$T$1</c:f>
            </c:strRef>
          </c:tx>
          <c:cat>
            <c:strRef>
              <c:f>'Top Vulnerabilities'!$B$2:$B$1000</c:f>
            </c:strRef>
          </c:cat>
          <c:val>
            <c:numRef>
              <c:f>'Top Vulnerabilities'!$T$2:$T$1000</c:f>
              <c:numCache/>
            </c:numRef>
          </c:val>
        </c:ser>
        <c:ser>
          <c:idx val="19"/>
          <c:order val="19"/>
          <c:tx>
            <c:strRef>
              <c:f>'Top Vulnerabilities'!$U$1</c:f>
            </c:strRef>
          </c:tx>
          <c:cat>
            <c:strRef>
              <c:f>'Top Vulnerabilities'!$B$2:$B$1000</c:f>
            </c:strRef>
          </c:cat>
          <c:val>
            <c:numRef>
              <c:f>'Top Vulnerabilities'!$U$2:$U$1000</c:f>
              <c:numCache/>
            </c:numRef>
          </c:val>
        </c:ser>
        <c:ser>
          <c:idx val="20"/>
          <c:order val="20"/>
          <c:tx>
            <c:strRef>
              <c:f>'Top Vulnerabilities'!$V$1</c:f>
            </c:strRef>
          </c:tx>
          <c:cat>
            <c:strRef>
              <c:f>'Top Vulnerabilities'!$B$2:$B$1000</c:f>
            </c:strRef>
          </c:cat>
          <c:val>
            <c:numRef>
              <c:f>'Top Vulnerabilities'!$V$2:$V$1000</c:f>
              <c:numCache/>
            </c:numRef>
          </c:val>
        </c:ser>
        <c:ser>
          <c:idx val="21"/>
          <c:order val="21"/>
          <c:tx>
            <c:strRef>
              <c:f>'Top Vulnerabilities'!$W$1</c:f>
            </c:strRef>
          </c:tx>
          <c:cat>
            <c:strRef>
              <c:f>'Top Vulnerabilities'!$B$2:$B$1000</c:f>
            </c:strRef>
          </c:cat>
          <c:val>
            <c:numRef>
              <c:f>'Top Vulnerabilities'!$W$2:$W$1000</c:f>
              <c:numCache/>
            </c:numRef>
          </c:val>
        </c:ser>
        <c:ser>
          <c:idx val="22"/>
          <c:order val="22"/>
          <c:tx>
            <c:strRef>
              <c:f>'Top Vulnerabilities'!$X$1</c:f>
            </c:strRef>
          </c:tx>
          <c:cat>
            <c:strRef>
              <c:f>'Top Vulnerabilities'!$B$2:$B$1000</c:f>
            </c:strRef>
          </c:cat>
          <c:val>
            <c:numRef>
              <c:f>'Top Vulnerabilities'!$X$2:$X$1000</c:f>
              <c:numCache/>
            </c:numRef>
          </c:val>
        </c:ser>
        <c:ser>
          <c:idx val="23"/>
          <c:order val="23"/>
          <c:tx>
            <c:strRef>
              <c:f>'Top Vulnerabilities'!$Y$1</c:f>
            </c:strRef>
          </c:tx>
          <c:cat>
            <c:strRef>
              <c:f>'Top Vulnerabilities'!$B$2:$B$1000</c:f>
            </c:strRef>
          </c:cat>
          <c:val>
            <c:numRef>
              <c:f>'Top Vulnerabilities'!$Y$2:$Y$1000</c:f>
              <c:numCache/>
            </c:numRef>
          </c:val>
        </c:ser>
        <c:ser>
          <c:idx val="24"/>
          <c:order val="24"/>
          <c:tx>
            <c:strRef>
              <c:f>'Top Vulnerabilities'!$Z$1</c:f>
            </c:strRef>
          </c:tx>
          <c:cat>
            <c:strRef>
              <c:f>'Top Vulnerabilities'!$B$2:$B$1000</c:f>
            </c:strRef>
          </c:cat>
          <c:val>
            <c:numRef>
              <c:f>'Top Vulnerabilities'!$Z$2:$Z$1000</c:f>
              <c:numCache/>
            </c:numRef>
          </c:val>
        </c:ser>
        <c:axId val="1777494078"/>
        <c:axId val="122182618"/>
      </c:barChart>
      <c:catAx>
        <c:axId val="1777494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82618"/>
      </c:catAx>
      <c:valAx>
        <c:axId val="122182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494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600075</xdr:colOff>
      <xdr:row>0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466725</xdr:colOff>
      <xdr:row>0</xdr:row>
      <xdr:rowOff>209550</xdr:rowOff>
    </xdr:from>
    <xdr:ext cx="200025" cy="657225"/>
    <xdr:sp>
      <xdr:nvSpPr>
        <xdr:cNvPr id="3" name="Shape 3"/>
        <xdr:cNvSpPr/>
      </xdr:nvSpPr>
      <xdr:spPr>
        <a:xfrm>
          <a:off x="2761975" y="720500"/>
          <a:ext cx="570300" cy="2901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590550</xdr:colOff>
      <xdr:row>5</xdr:row>
      <xdr:rowOff>304800</xdr:rowOff>
    </xdr:from>
    <xdr:ext cx="247650" cy="190500"/>
    <xdr:sp>
      <xdr:nvSpPr>
        <xdr:cNvPr id="4" name="Shape 4"/>
        <xdr:cNvSpPr/>
      </xdr:nvSpPr>
      <xdr:spPr>
        <a:xfrm>
          <a:off x="2021425" y="1030725"/>
          <a:ext cx="630600" cy="4803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590550</xdr:colOff>
      <xdr:row>5</xdr:row>
      <xdr:rowOff>2066925</xdr:rowOff>
    </xdr:from>
    <xdr:ext cx="276225" cy="247650"/>
    <xdr:sp>
      <xdr:nvSpPr>
        <xdr:cNvPr id="5" name="Shape 5"/>
        <xdr:cNvSpPr/>
      </xdr:nvSpPr>
      <xdr:spPr>
        <a:xfrm>
          <a:off x="2872050" y="1010725"/>
          <a:ext cx="260100" cy="2301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4819650</xdr:colOff>
      <xdr:row>5</xdr:row>
      <xdr:rowOff>495300</xdr:rowOff>
    </xdr:from>
    <xdr:ext cx="295275" cy="238125"/>
    <xdr:sp>
      <xdr:nvSpPr>
        <xdr:cNvPr id="6" name="Shape 6"/>
        <xdr:cNvSpPr/>
      </xdr:nvSpPr>
      <xdr:spPr>
        <a:xfrm>
          <a:off x="1751250" y="1310925"/>
          <a:ext cx="280200" cy="2202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1343025</xdr:colOff>
      <xdr:row>3</xdr:row>
      <xdr:rowOff>314325</xdr:rowOff>
    </xdr:from>
    <xdr:ext cx="53911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495300</xdr:colOff>
      <xdr:row>2</xdr:row>
      <xdr:rowOff>-190500</xdr:rowOff>
    </xdr:from>
    <xdr:ext cx="190500" cy="16230600"/>
    <xdr:sp>
      <xdr:nvSpPr>
        <xdr:cNvPr id="7" name="Shape 7"/>
        <xdr:cNvSpPr/>
      </xdr:nvSpPr>
      <xdr:spPr>
        <a:xfrm>
          <a:off x="2992125" y="780550"/>
          <a:ext cx="210300" cy="55539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1</xdr:row>
      <xdr:rowOff>19050</xdr:rowOff>
    </xdr:from>
    <xdr:ext cx="190500" cy="16525875"/>
    <xdr:sp>
      <xdr:nvSpPr>
        <xdr:cNvPr id="8" name="Shape 8"/>
        <xdr:cNvSpPr/>
      </xdr:nvSpPr>
      <xdr:spPr>
        <a:xfrm>
          <a:off x="2421725" y="720500"/>
          <a:ext cx="170100" cy="60543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B28" sheet="VULNERABILITY ASSESSMENT"/>
  </cacheSource>
  <cacheFields>
    <cacheField name="10.20.30.10 (megaquagga.local)" numFmtId="0">
      <sharedItems>
        <s v="10.20.30.10 (megaquagga.local)"/>
        <s v="10.20.30.11"/>
        <s v="10.20.30.12"/>
      </sharedItems>
    </cacheField>
    <cacheField name="Critical" numFmtId="0">
      <sharedItems>
        <s v="Critical"/>
        <s v="High"/>
        <s v="Medium"/>
        <s v="Lo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ulns by Asset" cacheId="0" dataCaption="" compact="0" compactData="0">
  <location ref="A1:B5" firstHeaderRow="0" firstDataRow="1" firstDataCol="0"/>
  <pivotFields>
    <pivotField name="Asset" axis="axisRow" compact="0" outline="0" multipleItemSelectionAllowed="1" showAll="0" sortType="ascending">
      <items>
        <item x="0"/>
        <item x="1"/>
        <item x="2"/>
        <item t="default"/>
      </items>
    </pivotField>
    <pivotField name="Critical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Vuln count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0"/>
    <col customWidth="1" min="2" max="2" width="17.5"/>
    <col customWidth="1" min="3" max="3" width="10.75"/>
    <col customWidth="1" min="4" max="4" width="13.0"/>
    <col customWidth="1" min="5" max="5" width="26.75"/>
    <col customWidth="1" min="6" max="6" width="19.88"/>
    <col customWidth="1" min="7" max="7" width="14.75"/>
    <col customWidth="1" min="8" max="9" width="14.13"/>
    <col customWidth="1" min="10" max="10" width="15.25"/>
    <col customWidth="1" min="11" max="11" width="28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33.0" customHeight="1">
      <c r="A2" s="6" t="s">
        <v>10</v>
      </c>
      <c r="B2" s="6" t="s">
        <v>11</v>
      </c>
      <c r="C2" s="7" t="s">
        <v>12</v>
      </c>
      <c r="D2" s="8" t="s">
        <v>13</v>
      </c>
      <c r="E2" s="6" t="s">
        <v>14</v>
      </c>
      <c r="F2" s="6" t="s">
        <v>15</v>
      </c>
      <c r="G2" s="6" t="s">
        <v>16</v>
      </c>
      <c r="H2" s="9" t="s">
        <v>17</v>
      </c>
      <c r="I2" s="9" t="s">
        <v>18</v>
      </c>
      <c r="J2" s="10" t="s">
        <v>19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27.75" customHeight="1">
      <c r="A3" s="12" t="s">
        <v>20</v>
      </c>
      <c r="B3" s="12" t="s">
        <v>21</v>
      </c>
      <c r="C3" s="13" t="s">
        <v>22</v>
      </c>
      <c r="D3" s="14" t="s">
        <v>23</v>
      </c>
      <c r="E3" s="12" t="s">
        <v>24</v>
      </c>
      <c r="F3" s="12" t="s">
        <v>25</v>
      </c>
      <c r="G3" s="12" t="s">
        <v>26</v>
      </c>
      <c r="H3" s="15" t="s">
        <v>27</v>
      </c>
      <c r="I3" s="15" t="s">
        <v>28</v>
      </c>
      <c r="J3" s="16" t="s">
        <v>29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19.5" customHeight="1">
      <c r="A4" s="18" t="s">
        <v>30</v>
      </c>
      <c r="B4" s="18" t="s">
        <v>31</v>
      </c>
      <c r="C4" s="19">
        <v>10.0</v>
      </c>
      <c r="D4" s="20" t="s">
        <v>32</v>
      </c>
      <c r="E4" s="18" t="s">
        <v>33</v>
      </c>
      <c r="F4" s="18" t="s">
        <v>34</v>
      </c>
      <c r="G4" s="18" t="s">
        <v>35</v>
      </c>
      <c r="H4" s="19">
        <v>10.0</v>
      </c>
      <c r="I4" s="19">
        <v>10.0</v>
      </c>
      <c r="J4" s="21">
        <f t="shared" ref="J4:J7" si="1">IFERROR(AVERAGE(C4, I4, H4), "")</f>
        <v>10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19.5" customHeight="1">
      <c r="A5" s="18" t="s">
        <v>30</v>
      </c>
      <c r="B5" s="18" t="s">
        <v>31</v>
      </c>
      <c r="C5" s="19">
        <v>9.8</v>
      </c>
      <c r="D5" s="20" t="s">
        <v>36</v>
      </c>
      <c r="E5" s="18" t="s">
        <v>37</v>
      </c>
      <c r="F5" s="18" t="s">
        <v>38</v>
      </c>
      <c r="G5" s="18" t="s">
        <v>39</v>
      </c>
      <c r="H5" s="19">
        <v>9.0</v>
      </c>
      <c r="I5" s="19">
        <v>9.5</v>
      </c>
      <c r="J5" s="21">
        <f t="shared" si="1"/>
        <v>9.433333333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ht="19.5" customHeight="1">
      <c r="A6" s="18" t="s">
        <v>30</v>
      </c>
      <c r="B6" s="18" t="s">
        <v>31</v>
      </c>
      <c r="C6" s="23">
        <v>9.8</v>
      </c>
      <c r="D6" s="20" t="s">
        <v>40</v>
      </c>
      <c r="E6" s="18" t="s">
        <v>41</v>
      </c>
      <c r="F6" s="18" t="s">
        <v>42</v>
      </c>
      <c r="G6" s="18" t="s">
        <v>43</v>
      </c>
      <c r="H6" s="19">
        <v>9.0</v>
      </c>
      <c r="I6" s="19">
        <v>9.5</v>
      </c>
      <c r="J6" s="21">
        <f t="shared" si="1"/>
        <v>9.433333333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19.5" customHeight="1">
      <c r="A7" s="18" t="s">
        <v>30</v>
      </c>
      <c r="B7" s="18" t="s">
        <v>31</v>
      </c>
      <c r="C7" s="19">
        <v>9.8</v>
      </c>
      <c r="D7" s="20" t="s">
        <v>44</v>
      </c>
      <c r="E7" s="18" t="s">
        <v>45</v>
      </c>
      <c r="F7" s="18" t="s">
        <v>46</v>
      </c>
      <c r="G7" s="18" t="s">
        <v>47</v>
      </c>
      <c r="H7" s="19">
        <v>9.0</v>
      </c>
      <c r="I7" s="19">
        <v>9.5</v>
      </c>
      <c r="J7" s="21">
        <f t="shared" si="1"/>
        <v>9.433333333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ht="19.5" customHeight="1">
      <c r="A8" s="18" t="s">
        <v>30</v>
      </c>
      <c r="B8" s="18" t="s">
        <v>48</v>
      </c>
      <c r="C8" s="19">
        <v>8.8</v>
      </c>
      <c r="D8" s="20" t="s">
        <v>49</v>
      </c>
      <c r="E8" s="18" t="s">
        <v>50</v>
      </c>
      <c r="F8" s="18" t="s">
        <v>51</v>
      </c>
      <c r="G8" s="18" t="s">
        <v>52</v>
      </c>
      <c r="H8" s="19">
        <v>8.0</v>
      </c>
      <c r="I8" s="19">
        <v>8.0</v>
      </c>
      <c r="J8" s="24">
        <v>8.8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ht="19.5" customHeight="1">
      <c r="A9" s="18" t="s">
        <v>30</v>
      </c>
      <c r="B9" s="18" t="s">
        <v>48</v>
      </c>
      <c r="C9" s="19">
        <v>8.6</v>
      </c>
      <c r="D9" s="20" t="s">
        <v>53</v>
      </c>
      <c r="E9" s="18" t="s">
        <v>54</v>
      </c>
      <c r="F9" s="18" t="s">
        <v>55</v>
      </c>
      <c r="G9" s="18" t="s">
        <v>56</v>
      </c>
      <c r="H9" s="19">
        <v>8.0</v>
      </c>
      <c r="I9" s="19">
        <v>8.0</v>
      </c>
      <c r="J9" s="24">
        <v>8.6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ht="19.5" customHeight="1">
      <c r="A10" s="18" t="s">
        <v>30</v>
      </c>
      <c r="B10" s="18" t="s">
        <v>48</v>
      </c>
      <c r="C10" s="19">
        <v>7.5</v>
      </c>
      <c r="D10" s="20" t="s">
        <v>57</v>
      </c>
      <c r="E10" s="18" t="s">
        <v>58</v>
      </c>
      <c r="F10" s="18" t="s">
        <v>59</v>
      </c>
      <c r="G10" s="18" t="s">
        <v>60</v>
      </c>
      <c r="H10" s="19">
        <v>7.5</v>
      </c>
      <c r="I10" s="19">
        <v>8.0</v>
      </c>
      <c r="J10" s="24">
        <v>7.5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ht="19.5" customHeight="1">
      <c r="A11" s="18" t="s">
        <v>30</v>
      </c>
      <c r="B11" s="18" t="s">
        <v>48</v>
      </c>
      <c r="C11" s="19">
        <v>7.5</v>
      </c>
      <c r="D11" s="20" t="s">
        <v>61</v>
      </c>
      <c r="E11" s="18" t="s">
        <v>62</v>
      </c>
      <c r="F11" s="18" t="s">
        <v>63</v>
      </c>
      <c r="G11" s="18" t="s">
        <v>64</v>
      </c>
      <c r="H11" s="19">
        <v>7.5</v>
      </c>
      <c r="I11" s="19">
        <v>8.0</v>
      </c>
      <c r="J11" s="24">
        <v>7.5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t="19.5" customHeight="1">
      <c r="A12" s="18" t="s">
        <v>30</v>
      </c>
      <c r="B12" s="18" t="s">
        <v>48</v>
      </c>
      <c r="C12" s="19">
        <v>7.5</v>
      </c>
      <c r="D12" s="20" t="s">
        <v>65</v>
      </c>
      <c r="E12" s="18" t="s">
        <v>66</v>
      </c>
      <c r="F12" s="18" t="s">
        <v>34</v>
      </c>
      <c r="G12" s="18" t="s">
        <v>67</v>
      </c>
      <c r="H12" s="19">
        <v>7.5</v>
      </c>
      <c r="I12" s="19">
        <v>8.0</v>
      </c>
      <c r="J12" s="24">
        <v>7.5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ht="19.5" customHeight="1">
      <c r="A13" s="18" t="s">
        <v>30</v>
      </c>
      <c r="B13" s="18" t="s">
        <v>68</v>
      </c>
      <c r="C13" s="19">
        <v>6.5</v>
      </c>
      <c r="D13" s="20" t="s">
        <v>69</v>
      </c>
      <c r="E13" s="18" t="s">
        <v>70</v>
      </c>
      <c r="F13" s="18" t="s">
        <v>71</v>
      </c>
      <c r="G13" s="18" t="s">
        <v>72</v>
      </c>
      <c r="H13" s="19">
        <v>6.0</v>
      </c>
      <c r="I13" s="19">
        <v>6.1</v>
      </c>
      <c r="J13" s="24">
        <v>6.5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ht="19.5" customHeight="1">
      <c r="A14" s="18" t="s">
        <v>30</v>
      </c>
      <c r="B14" s="18" t="s">
        <v>68</v>
      </c>
      <c r="C14" s="19">
        <v>5.3</v>
      </c>
      <c r="D14" s="20" t="s">
        <v>73</v>
      </c>
      <c r="E14" s="18" t="s">
        <v>74</v>
      </c>
      <c r="F14" s="18" t="s">
        <v>34</v>
      </c>
      <c r="G14" s="18" t="s">
        <v>75</v>
      </c>
      <c r="H14" s="19">
        <v>6.0</v>
      </c>
      <c r="I14" s="19">
        <v>6.1</v>
      </c>
      <c r="J14" s="24">
        <v>5.3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ht="19.5" customHeight="1">
      <c r="A15" s="18" t="s">
        <v>76</v>
      </c>
      <c r="B15" s="18" t="s">
        <v>48</v>
      </c>
      <c r="C15" s="19">
        <v>7.5</v>
      </c>
      <c r="D15" s="20" t="s">
        <v>77</v>
      </c>
      <c r="E15" s="18" t="s">
        <v>78</v>
      </c>
      <c r="F15" s="18" t="s">
        <v>79</v>
      </c>
      <c r="G15" s="18" t="s">
        <v>80</v>
      </c>
      <c r="H15" s="19">
        <v>7.0</v>
      </c>
      <c r="I15" s="19">
        <v>7.5</v>
      </c>
      <c r="J15" s="24">
        <v>7.5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ht="19.5" customHeight="1">
      <c r="A16" s="18" t="s">
        <v>76</v>
      </c>
      <c r="B16" s="18" t="s">
        <v>68</v>
      </c>
      <c r="C16" s="19">
        <v>6.5</v>
      </c>
      <c r="D16" s="20" t="s">
        <v>81</v>
      </c>
      <c r="E16" s="18" t="s">
        <v>82</v>
      </c>
      <c r="F16" s="18" t="s">
        <v>34</v>
      </c>
      <c r="G16" s="18" t="s">
        <v>83</v>
      </c>
      <c r="H16" s="19">
        <v>6.0</v>
      </c>
      <c r="I16" s="19">
        <v>6.1</v>
      </c>
      <c r="J16" s="24">
        <v>6.5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ht="19.5" customHeight="1">
      <c r="A17" s="18" t="s">
        <v>76</v>
      </c>
      <c r="B17" s="18" t="s">
        <v>68</v>
      </c>
      <c r="C17" s="19">
        <v>6.5</v>
      </c>
      <c r="D17" s="20" t="s">
        <v>84</v>
      </c>
      <c r="E17" s="18" t="s">
        <v>85</v>
      </c>
      <c r="F17" s="18" t="s">
        <v>34</v>
      </c>
      <c r="G17" s="18" t="s">
        <v>83</v>
      </c>
      <c r="H17" s="19">
        <v>6.0</v>
      </c>
      <c r="I17" s="19">
        <v>6.1</v>
      </c>
      <c r="J17" s="24">
        <v>6.5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ht="19.5" customHeight="1">
      <c r="A18" s="18" t="s">
        <v>76</v>
      </c>
      <c r="B18" s="18" t="s">
        <v>68</v>
      </c>
      <c r="C18" s="19">
        <v>5.3</v>
      </c>
      <c r="D18" s="20" t="s">
        <v>86</v>
      </c>
      <c r="E18" s="18" t="s">
        <v>87</v>
      </c>
      <c r="F18" s="18" t="s">
        <v>34</v>
      </c>
      <c r="G18" s="18" t="s">
        <v>88</v>
      </c>
      <c r="H18" s="19">
        <v>5.0</v>
      </c>
      <c r="I18" s="19">
        <v>5.1</v>
      </c>
      <c r="J18" s="24">
        <v>5.3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ht="19.5" customHeight="1">
      <c r="A19" s="18" t="s">
        <v>76</v>
      </c>
      <c r="B19" s="18" t="s">
        <v>89</v>
      </c>
      <c r="C19" s="19">
        <v>2.1</v>
      </c>
      <c r="D19" s="20" t="s">
        <v>90</v>
      </c>
      <c r="E19" s="18" t="s">
        <v>91</v>
      </c>
      <c r="F19" s="18" t="s">
        <v>92</v>
      </c>
      <c r="G19" s="18" t="s">
        <v>93</v>
      </c>
      <c r="H19" s="19">
        <v>2.5</v>
      </c>
      <c r="I19" s="19">
        <v>3.0</v>
      </c>
      <c r="J19" s="24">
        <v>2.1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ht="19.5" customHeight="1">
      <c r="A20" s="18" t="s">
        <v>94</v>
      </c>
      <c r="B20" s="18" t="s">
        <v>31</v>
      </c>
      <c r="C20" s="19">
        <v>9.9</v>
      </c>
      <c r="D20" s="20" t="s">
        <v>95</v>
      </c>
      <c r="E20" s="18" t="s">
        <v>96</v>
      </c>
      <c r="F20" s="18" t="s">
        <v>97</v>
      </c>
      <c r="G20" s="18" t="s">
        <v>98</v>
      </c>
      <c r="H20" s="19">
        <v>9.8</v>
      </c>
      <c r="I20" s="19">
        <v>9.8</v>
      </c>
      <c r="J20" s="21">
        <f t="shared" ref="J20:J32" si="2">IFERROR(AVERAGE(C20, I20, H20), "")</f>
        <v>9.833333333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ht="19.5" customHeight="1">
      <c r="A21" s="18" t="s">
        <v>94</v>
      </c>
      <c r="B21" s="18" t="s">
        <v>31</v>
      </c>
      <c r="C21" s="19">
        <v>9.8</v>
      </c>
      <c r="D21" s="20" t="s">
        <v>99</v>
      </c>
      <c r="E21" s="18" t="s">
        <v>100</v>
      </c>
      <c r="F21" s="18" t="s">
        <v>101</v>
      </c>
      <c r="G21" s="18" t="s">
        <v>98</v>
      </c>
      <c r="H21" s="19">
        <v>9.8</v>
      </c>
      <c r="I21" s="19">
        <v>9.8</v>
      </c>
      <c r="J21" s="21">
        <f t="shared" si="2"/>
        <v>9.8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ht="19.5" customHeight="1">
      <c r="A22" s="18" t="s">
        <v>94</v>
      </c>
      <c r="B22" s="18" t="s">
        <v>31</v>
      </c>
      <c r="C22" s="19">
        <v>9.8</v>
      </c>
      <c r="D22" s="20" t="s">
        <v>102</v>
      </c>
      <c r="E22" s="18" t="s">
        <v>103</v>
      </c>
      <c r="F22" s="18" t="s">
        <v>104</v>
      </c>
      <c r="G22" s="18" t="s">
        <v>98</v>
      </c>
      <c r="H22" s="19">
        <v>9.8</v>
      </c>
      <c r="I22" s="19">
        <v>9.8</v>
      </c>
      <c r="J22" s="21">
        <f t="shared" si="2"/>
        <v>9.8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ht="19.5" customHeight="1">
      <c r="A23" s="18" t="s">
        <v>94</v>
      </c>
      <c r="B23" s="18" t="s">
        <v>31</v>
      </c>
      <c r="C23" s="19">
        <v>9.8</v>
      </c>
      <c r="D23" s="20" t="s">
        <v>105</v>
      </c>
      <c r="E23" s="18" t="s">
        <v>106</v>
      </c>
      <c r="F23" s="18" t="s">
        <v>107</v>
      </c>
      <c r="G23" s="18" t="s">
        <v>108</v>
      </c>
      <c r="H23" s="19">
        <v>9.8</v>
      </c>
      <c r="I23" s="19">
        <v>9.8</v>
      </c>
      <c r="J23" s="21">
        <f t="shared" si="2"/>
        <v>9.8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ht="19.5" customHeight="1">
      <c r="A24" s="18" t="s">
        <v>94</v>
      </c>
      <c r="B24" s="18" t="s">
        <v>31</v>
      </c>
      <c r="C24" s="19">
        <v>9.8</v>
      </c>
      <c r="D24" s="20" t="s">
        <v>109</v>
      </c>
      <c r="E24" s="18" t="s">
        <v>110</v>
      </c>
      <c r="F24" s="18" t="s">
        <v>34</v>
      </c>
      <c r="G24" s="18" t="s">
        <v>98</v>
      </c>
      <c r="H24" s="19">
        <v>9.8</v>
      </c>
      <c r="I24" s="19">
        <v>9.8</v>
      </c>
      <c r="J24" s="21">
        <f t="shared" si="2"/>
        <v>9.8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ht="19.5" customHeight="1">
      <c r="A25" s="18" t="s">
        <v>94</v>
      </c>
      <c r="B25" s="18" t="s">
        <v>31</v>
      </c>
      <c r="C25" s="19">
        <v>9.8</v>
      </c>
      <c r="D25" s="20" t="s">
        <v>111</v>
      </c>
      <c r="E25" s="18" t="s">
        <v>112</v>
      </c>
      <c r="F25" s="18" t="s">
        <v>113</v>
      </c>
      <c r="G25" s="18" t="s">
        <v>98</v>
      </c>
      <c r="H25" s="19">
        <v>9.8</v>
      </c>
      <c r="I25" s="19">
        <v>9.8</v>
      </c>
      <c r="J25" s="21">
        <f t="shared" si="2"/>
        <v>9.8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ht="19.5" customHeight="1">
      <c r="A26" s="18" t="s">
        <v>94</v>
      </c>
      <c r="B26" s="18" t="s">
        <v>31</v>
      </c>
      <c r="C26" s="19">
        <v>9.8</v>
      </c>
      <c r="D26" s="20" t="s">
        <v>114</v>
      </c>
      <c r="E26" s="18" t="s">
        <v>115</v>
      </c>
      <c r="F26" s="18" t="s">
        <v>116</v>
      </c>
      <c r="G26" s="18" t="s">
        <v>98</v>
      </c>
      <c r="H26" s="19">
        <v>9.8</v>
      </c>
      <c r="I26" s="19">
        <v>9.8</v>
      </c>
      <c r="J26" s="21">
        <f t="shared" si="2"/>
        <v>9.8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ht="19.5" customHeight="1">
      <c r="A27" s="18" t="s">
        <v>94</v>
      </c>
      <c r="B27" s="18" t="s">
        <v>31</v>
      </c>
      <c r="C27" s="19">
        <v>9.8</v>
      </c>
      <c r="D27" s="20" t="s">
        <v>117</v>
      </c>
      <c r="E27" s="18" t="s">
        <v>118</v>
      </c>
      <c r="F27" s="18" t="s">
        <v>119</v>
      </c>
      <c r="G27" s="18" t="s">
        <v>98</v>
      </c>
      <c r="H27" s="19">
        <v>9.8</v>
      </c>
      <c r="I27" s="19">
        <v>9.8</v>
      </c>
      <c r="J27" s="21">
        <f t="shared" si="2"/>
        <v>9.8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ht="19.5" customHeight="1">
      <c r="A28" s="18" t="s">
        <v>94</v>
      </c>
      <c r="B28" s="18" t="s">
        <v>31</v>
      </c>
      <c r="C28" s="19">
        <v>9.8</v>
      </c>
      <c r="D28" s="20" t="s">
        <v>120</v>
      </c>
      <c r="E28" s="18" t="s">
        <v>121</v>
      </c>
      <c r="F28" s="18" t="s">
        <v>122</v>
      </c>
      <c r="G28" s="18" t="s">
        <v>98</v>
      </c>
      <c r="H28" s="19">
        <v>9.8</v>
      </c>
      <c r="I28" s="19">
        <v>9.8</v>
      </c>
      <c r="J28" s="21">
        <f t="shared" si="2"/>
        <v>9.8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ht="19.5" customHeight="1">
      <c r="A29" s="18" t="s">
        <v>94</v>
      </c>
      <c r="B29" s="18" t="s">
        <v>31</v>
      </c>
      <c r="C29" s="19">
        <v>9.8</v>
      </c>
      <c r="D29" s="20" t="s">
        <v>123</v>
      </c>
      <c r="E29" s="18" t="s">
        <v>124</v>
      </c>
      <c r="F29" s="18" t="s">
        <v>125</v>
      </c>
      <c r="G29" s="18" t="s">
        <v>98</v>
      </c>
      <c r="H29" s="19">
        <v>9.8</v>
      </c>
      <c r="I29" s="19">
        <v>9.8</v>
      </c>
      <c r="J29" s="21">
        <f t="shared" si="2"/>
        <v>9.8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ht="19.5" customHeight="1">
      <c r="A30" s="18" t="s">
        <v>94</v>
      </c>
      <c r="B30" s="18" t="s">
        <v>31</v>
      </c>
      <c r="C30" s="19">
        <v>9.8</v>
      </c>
      <c r="D30" s="20" t="s">
        <v>126</v>
      </c>
      <c r="E30" s="18" t="s">
        <v>127</v>
      </c>
      <c r="F30" s="18" t="s">
        <v>128</v>
      </c>
      <c r="G30" s="18" t="s">
        <v>98</v>
      </c>
      <c r="H30" s="19">
        <v>9.8</v>
      </c>
      <c r="I30" s="19">
        <v>9.8</v>
      </c>
      <c r="J30" s="21">
        <f t="shared" si="2"/>
        <v>9.8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ht="19.5" customHeight="1">
      <c r="A31" s="18" t="s">
        <v>94</v>
      </c>
      <c r="B31" s="18" t="s">
        <v>31</v>
      </c>
      <c r="C31" s="19">
        <v>9.8</v>
      </c>
      <c r="D31" s="20" t="s">
        <v>129</v>
      </c>
      <c r="E31" s="18" t="s">
        <v>130</v>
      </c>
      <c r="F31" s="18" t="s">
        <v>131</v>
      </c>
      <c r="G31" s="18" t="s">
        <v>98</v>
      </c>
      <c r="H31" s="19">
        <v>9.8</v>
      </c>
      <c r="I31" s="19">
        <v>9.8</v>
      </c>
      <c r="J31" s="21">
        <f t="shared" si="2"/>
        <v>9.8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ht="19.5" customHeight="1">
      <c r="A32" s="18" t="s">
        <v>94</v>
      </c>
      <c r="B32" s="18" t="s">
        <v>31</v>
      </c>
      <c r="C32" s="19">
        <v>9.8</v>
      </c>
      <c r="D32" s="20" t="s">
        <v>132</v>
      </c>
      <c r="E32" s="18" t="s">
        <v>133</v>
      </c>
      <c r="F32" s="18" t="s">
        <v>134</v>
      </c>
      <c r="G32" s="18" t="s">
        <v>98</v>
      </c>
      <c r="H32" s="19">
        <v>9.8</v>
      </c>
      <c r="I32" s="19">
        <v>9.8</v>
      </c>
      <c r="J32" s="21">
        <f t="shared" si="2"/>
        <v>9.8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ht="19.5" customHeight="1">
      <c r="A33" s="18" t="s">
        <v>94</v>
      </c>
      <c r="B33" s="18" t="s">
        <v>31</v>
      </c>
      <c r="C33" s="19">
        <v>9.8</v>
      </c>
      <c r="D33" s="20" t="s">
        <v>135</v>
      </c>
      <c r="E33" s="18" t="s">
        <v>136</v>
      </c>
      <c r="F33" s="18" t="s">
        <v>137</v>
      </c>
      <c r="G33" s="18" t="s">
        <v>98</v>
      </c>
      <c r="H33" s="19">
        <v>9.8</v>
      </c>
      <c r="I33" s="19">
        <v>9.8</v>
      </c>
      <c r="J33" s="24">
        <v>9.8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ht="19.5" customHeight="1">
      <c r="A34" s="18" t="s">
        <v>94</v>
      </c>
      <c r="B34" s="18" t="s">
        <v>31</v>
      </c>
      <c r="C34" s="19">
        <v>9.8</v>
      </c>
      <c r="D34" s="20" t="s">
        <v>138</v>
      </c>
      <c r="E34" s="18" t="s">
        <v>139</v>
      </c>
      <c r="F34" s="18" t="s">
        <v>140</v>
      </c>
      <c r="G34" s="18" t="s">
        <v>98</v>
      </c>
      <c r="H34" s="19">
        <v>9.5</v>
      </c>
      <c r="I34" s="19">
        <v>9.5</v>
      </c>
      <c r="J34" s="24">
        <v>9.8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ht="19.5" customHeight="1">
      <c r="A35" s="18" t="s">
        <v>94</v>
      </c>
      <c r="B35" s="18" t="s">
        <v>31</v>
      </c>
      <c r="C35" s="19">
        <v>9.8</v>
      </c>
      <c r="D35" s="20" t="s">
        <v>141</v>
      </c>
      <c r="E35" s="18" t="s">
        <v>142</v>
      </c>
      <c r="F35" s="18" t="s">
        <v>143</v>
      </c>
      <c r="G35" s="18" t="s">
        <v>98</v>
      </c>
      <c r="H35" s="19">
        <v>9.5</v>
      </c>
      <c r="I35" s="19">
        <v>9.5</v>
      </c>
      <c r="J35" s="21">
        <f t="shared" ref="J35:J38" si="3">IFERROR(AVERAGE(C35, I35, H35), "")</f>
        <v>9.6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ht="19.5" customHeight="1">
      <c r="A36" s="18" t="s">
        <v>94</v>
      </c>
      <c r="B36" s="18" t="s">
        <v>31</v>
      </c>
      <c r="C36" s="19">
        <v>9.8</v>
      </c>
      <c r="D36" s="20" t="s">
        <v>144</v>
      </c>
      <c r="E36" s="18" t="s">
        <v>145</v>
      </c>
      <c r="F36" s="18" t="s">
        <v>146</v>
      </c>
      <c r="G36" s="18" t="s">
        <v>98</v>
      </c>
      <c r="H36" s="19">
        <v>9.5</v>
      </c>
      <c r="I36" s="19">
        <v>9.5</v>
      </c>
      <c r="J36" s="21">
        <f t="shared" si="3"/>
        <v>9.6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ht="19.5" customHeight="1">
      <c r="A37" s="18" t="s">
        <v>94</v>
      </c>
      <c r="B37" s="18" t="s">
        <v>31</v>
      </c>
      <c r="C37" s="19">
        <v>9.8</v>
      </c>
      <c r="D37" s="20" t="s">
        <v>147</v>
      </c>
      <c r="E37" s="18" t="s">
        <v>148</v>
      </c>
      <c r="F37" s="18" t="s">
        <v>149</v>
      </c>
      <c r="G37" s="18" t="s">
        <v>98</v>
      </c>
      <c r="H37" s="19">
        <v>9.5</v>
      </c>
      <c r="I37" s="19">
        <v>9.5</v>
      </c>
      <c r="J37" s="21">
        <f t="shared" si="3"/>
        <v>9.6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ht="19.5" customHeight="1">
      <c r="A38" s="18" t="s">
        <v>94</v>
      </c>
      <c r="B38" s="18" t="s">
        <v>31</v>
      </c>
      <c r="C38" s="19">
        <v>9.8</v>
      </c>
      <c r="D38" s="20" t="s">
        <v>150</v>
      </c>
      <c r="E38" s="18" t="s">
        <v>151</v>
      </c>
      <c r="F38" s="18" t="s">
        <v>152</v>
      </c>
      <c r="G38" s="18" t="s">
        <v>98</v>
      </c>
      <c r="H38" s="19">
        <v>9.5</v>
      </c>
      <c r="I38" s="19">
        <v>9.5</v>
      </c>
      <c r="J38" s="21">
        <f t="shared" si="3"/>
        <v>9.6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ht="19.5" customHeight="1">
      <c r="A39" s="18" t="s">
        <v>94</v>
      </c>
      <c r="B39" s="18" t="s">
        <v>31</v>
      </c>
      <c r="C39" s="19">
        <v>9.4</v>
      </c>
      <c r="D39" s="20" t="s">
        <v>153</v>
      </c>
      <c r="E39" s="18" t="s">
        <v>154</v>
      </c>
      <c r="F39" s="18" t="s">
        <v>155</v>
      </c>
      <c r="G39" s="18" t="s">
        <v>98</v>
      </c>
      <c r="H39" s="19">
        <v>9.4</v>
      </c>
      <c r="I39" s="19">
        <v>9.5</v>
      </c>
      <c r="J39" s="24">
        <v>9.4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ht="19.5" customHeight="1">
      <c r="A40" s="18" t="s">
        <v>94</v>
      </c>
      <c r="B40" s="18" t="s">
        <v>31</v>
      </c>
      <c r="C40" s="19">
        <v>9.1</v>
      </c>
      <c r="D40" s="20" t="s">
        <v>156</v>
      </c>
      <c r="E40" s="18" t="s">
        <v>157</v>
      </c>
      <c r="F40" s="18" t="s">
        <v>158</v>
      </c>
      <c r="G40" s="18" t="s">
        <v>98</v>
      </c>
      <c r="H40" s="19">
        <v>9.1</v>
      </c>
      <c r="I40" s="19">
        <v>9.5</v>
      </c>
      <c r="J40" s="24">
        <v>9.1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ht="19.5" customHeight="1">
      <c r="A41" s="18" t="s">
        <v>94</v>
      </c>
      <c r="B41" s="18" t="s">
        <v>31</v>
      </c>
      <c r="C41" s="19">
        <v>9.1</v>
      </c>
      <c r="D41" s="20" t="s">
        <v>159</v>
      </c>
      <c r="E41" s="18" t="s">
        <v>160</v>
      </c>
      <c r="F41" s="18" t="s">
        <v>161</v>
      </c>
      <c r="G41" s="18" t="s">
        <v>98</v>
      </c>
      <c r="H41" s="19">
        <v>9.1</v>
      </c>
      <c r="I41" s="19">
        <v>9.5</v>
      </c>
      <c r="J41" s="24">
        <v>9.1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ht="19.5" customHeight="1">
      <c r="A42" s="18" t="s">
        <v>94</v>
      </c>
      <c r="B42" s="18" t="s">
        <v>31</v>
      </c>
      <c r="C42" s="19">
        <v>9.0</v>
      </c>
      <c r="D42" s="20" t="s">
        <v>162</v>
      </c>
      <c r="E42" s="18" t="s">
        <v>163</v>
      </c>
      <c r="F42" s="18" t="s">
        <v>164</v>
      </c>
      <c r="G42" s="18" t="s">
        <v>98</v>
      </c>
      <c r="H42" s="19">
        <v>9.0</v>
      </c>
      <c r="I42" s="19">
        <v>9.1</v>
      </c>
      <c r="J42" s="24">
        <v>9.0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ht="19.5" customHeight="1">
      <c r="A43" s="18" t="s">
        <v>94</v>
      </c>
      <c r="B43" s="18" t="s">
        <v>48</v>
      </c>
      <c r="C43" s="19">
        <v>8.8</v>
      </c>
      <c r="D43" s="20" t="s">
        <v>165</v>
      </c>
      <c r="E43" s="18" t="s">
        <v>166</v>
      </c>
      <c r="F43" s="18" t="s">
        <v>167</v>
      </c>
      <c r="G43" s="18" t="s">
        <v>168</v>
      </c>
      <c r="H43" s="19">
        <v>8.0</v>
      </c>
      <c r="I43" s="19">
        <v>8.1</v>
      </c>
      <c r="J43" s="24">
        <v>8.8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ht="19.5" customHeight="1">
      <c r="A44" s="18" t="s">
        <v>94</v>
      </c>
      <c r="B44" s="18" t="s">
        <v>48</v>
      </c>
      <c r="C44" s="19">
        <v>8.8</v>
      </c>
      <c r="D44" s="20" t="s">
        <v>169</v>
      </c>
      <c r="E44" s="18" t="s">
        <v>170</v>
      </c>
      <c r="F44" s="18" t="s">
        <v>171</v>
      </c>
      <c r="G44" s="18" t="s">
        <v>172</v>
      </c>
      <c r="H44" s="19">
        <v>8.0</v>
      </c>
      <c r="I44" s="19">
        <v>8.1</v>
      </c>
      <c r="J44" s="24">
        <v>8.8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ht="19.5" customHeight="1">
      <c r="A45" s="18" t="s">
        <v>94</v>
      </c>
      <c r="B45" s="18" t="s">
        <v>48</v>
      </c>
      <c r="C45" s="19">
        <v>8.8</v>
      </c>
      <c r="D45" s="20" t="s">
        <v>173</v>
      </c>
      <c r="E45" s="18" t="s">
        <v>174</v>
      </c>
      <c r="F45" s="18" t="s">
        <v>175</v>
      </c>
      <c r="G45" s="18" t="s">
        <v>98</v>
      </c>
      <c r="H45" s="19">
        <v>8.0</v>
      </c>
      <c r="I45" s="19">
        <v>8.1</v>
      </c>
      <c r="J45" s="24">
        <v>8.8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ht="19.5" customHeight="1">
      <c r="A46" s="18" t="s">
        <v>94</v>
      </c>
      <c r="B46" s="18" t="s">
        <v>48</v>
      </c>
      <c r="C46" s="19">
        <v>8.8</v>
      </c>
      <c r="D46" s="20" t="s">
        <v>176</v>
      </c>
      <c r="E46" s="18" t="s">
        <v>177</v>
      </c>
      <c r="F46" s="18" t="s">
        <v>178</v>
      </c>
      <c r="G46" s="18" t="s">
        <v>98</v>
      </c>
      <c r="H46" s="19">
        <v>8.0</v>
      </c>
      <c r="I46" s="19">
        <v>8.1</v>
      </c>
      <c r="J46" s="24">
        <v>8.8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ht="19.5" customHeight="1">
      <c r="A47" s="18" t="s">
        <v>94</v>
      </c>
      <c r="B47" s="18" t="s">
        <v>48</v>
      </c>
      <c r="C47" s="19">
        <v>8.8</v>
      </c>
      <c r="D47" s="20" t="s">
        <v>179</v>
      </c>
      <c r="E47" s="18" t="s">
        <v>180</v>
      </c>
      <c r="F47" s="18" t="s">
        <v>181</v>
      </c>
      <c r="G47" s="18" t="s">
        <v>98</v>
      </c>
      <c r="H47" s="19">
        <v>8.0</v>
      </c>
      <c r="I47" s="19">
        <v>8.1</v>
      </c>
      <c r="J47" s="24">
        <v>8.8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ht="19.5" customHeight="1">
      <c r="A48" s="18" t="s">
        <v>94</v>
      </c>
      <c r="B48" s="18" t="s">
        <v>48</v>
      </c>
      <c r="C48" s="19">
        <v>8.8</v>
      </c>
      <c r="D48" s="20" t="s">
        <v>182</v>
      </c>
      <c r="E48" s="18" t="s">
        <v>183</v>
      </c>
      <c r="F48" s="18" t="s">
        <v>184</v>
      </c>
      <c r="G48" s="18" t="s">
        <v>185</v>
      </c>
      <c r="H48" s="19">
        <v>8.0</v>
      </c>
      <c r="I48" s="19">
        <v>8.1</v>
      </c>
      <c r="J48" s="24">
        <v>8.8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ht="20.25" customHeight="1">
      <c r="A49" s="18" t="s">
        <v>94</v>
      </c>
      <c r="B49" s="18" t="s">
        <v>48</v>
      </c>
      <c r="C49" s="19">
        <v>8.8</v>
      </c>
      <c r="D49" s="20" t="s">
        <v>186</v>
      </c>
      <c r="E49" s="18" t="s">
        <v>187</v>
      </c>
      <c r="F49" s="18" t="s">
        <v>188</v>
      </c>
      <c r="G49" s="18" t="s">
        <v>98</v>
      </c>
      <c r="H49" s="19">
        <v>8.0</v>
      </c>
      <c r="I49" s="19">
        <v>8.1</v>
      </c>
      <c r="J49" s="24">
        <v>8.8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ht="20.25" customHeight="1">
      <c r="A50" s="18" t="s">
        <v>94</v>
      </c>
      <c r="B50" s="18" t="s">
        <v>48</v>
      </c>
      <c r="C50" s="19">
        <v>8.6</v>
      </c>
      <c r="D50" s="20" t="s">
        <v>189</v>
      </c>
      <c r="E50" s="18" t="s">
        <v>190</v>
      </c>
      <c r="F50" s="18" t="s">
        <v>191</v>
      </c>
      <c r="G50" s="18" t="s">
        <v>98</v>
      </c>
      <c r="H50" s="19">
        <v>8.0</v>
      </c>
      <c r="I50" s="19">
        <v>8.1</v>
      </c>
      <c r="J50" s="24">
        <v>8.6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</sheetData>
  <conditionalFormatting sqref="A1:Y5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A1:Y50">
    <cfRule type="expression" dxfId="0" priority="2">
      <formula>$B1="Critical"</formula>
    </cfRule>
  </conditionalFormatting>
  <conditionalFormatting sqref="A1:Y50">
    <cfRule type="expression" dxfId="1" priority="3">
      <formula>$B1="High"</formula>
    </cfRule>
  </conditionalFormatting>
  <conditionalFormatting sqref="A1:Y50">
    <cfRule type="expression" dxfId="2" priority="4">
      <formula>$B1="Medium"</formula>
    </cfRule>
  </conditionalFormatting>
  <conditionalFormatting sqref="A1:Y50">
    <cfRule type="expression" dxfId="3" priority="5">
      <formula>$B1="Low"</formula>
    </cfRule>
  </conditionalFormatting>
  <conditionalFormatting sqref="A1:Y50">
    <cfRule type="expression" dxfId="4" priority="6">
      <formula>$B1="Informational"</formula>
    </cfRule>
  </conditionalFormatting>
  <conditionalFormatting sqref="I1:I50">
    <cfRule type="colorScale" priority="7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H1:H50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H1:J50">
    <cfRule type="colorScale" priority="9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1:C50">
    <cfRule type="colorScale" priority="10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list" allowBlank="1" showErrorMessage="1" sqref="B4:B50">
      <formula1>"Critical,High,Medium,Low,Informational"</formula1>
    </dataValidation>
    <dataValidation type="list" allowBlank="1" showErrorMessage="1" sqref="A4:A50">
      <formula1>"10.20.30.10 (megaquagga.local),10.20.30.11,10.20.30.12"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8.13"/>
    <col customWidth="1" min="3" max="3" width="108.75"/>
  </cols>
  <sheetData>
    <row r="1">
      <c r="C1" s="25"/>
    </row>
    <row r="2">
      <c r="C2" s="25"/>
    </row>
    <row r="3">
      <c r="C3" s="25"/>
    </row>
    <row r="4">
      <c r="C4" s="25"/>
    </row>
    <row r="5">
      <c r="C5" s="25"/>
    </row>
    <row r="6" ht="209.25" customHeight="1">
      <c r="A6" s="26"/>
      <c r="B6" s="26"/>
      <c r="C6" s="2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5"/>
    <col customWidth="1" min="4" max="4" width="25.13"/>
    <col customWidth="1" min="5" max="5" width="87.75"/>
  </cols>
  <sheetData>
    <row r="1">
      <c r="A1" s="27" t="s">
        <v>3</v>
      </c>
      <c r="B1" s="28" t="s">
        <v>4</v>
      </c>
      <c r="C1" s="27" t="s">
        <v>9</v>
      </c>
      <c r="D1" s="5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tr">
        <f>IFERROR(__xludf.DUMMYFUNCTION("SORT(
    FILTER(
        {'VULNERABILITY ASSESSMENT'!D4:D1000, 'VULNERABILITY ASSESSMENT'!E4:E1000, 'VULNERABILITY ASSESSMENT'!J4:J1000, 'VULNERABILITY ASSESSMENT'!A4:A1000},
        LEN('VULNERABILITY ASSESSMENT'!D4:D1000) &gt; 0
    ),
    3, FALSE
)"),"58987")</f>
        <v>58987</v>
      </c>
      <c r="B2" s="30" t="str">
        <f>IFERROR(__xludf.DUMMYFUNCTION("""COMPUTED_VALUE"""),"PHP Unsupported Version Detected")</f>
        <v>PHP Unsupported Version Detected</v>
      </c>
      <c r="C2" s="31">
        <f>IFERROR(__xludf.DUMMYFUNCTION("""COMPUTED_VALUE"""),10.0)</f>
        <v>10</v>
      </c>
      <c r="D2" s="29" t="str">
        <f>IFERROR(__xludf.DUMMYFUNCTION("""COMPUTED_VALUE"""),"10.20.30.10 (megaquagga.local)")</f>
        <v>10.20.30.10 (megaquagga.local)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0" t="str">
        <f>IFERROR(__xludf.DUMMYFUNCTION("""COMPUTED_VALUE"""),"270678")</f>
        <v>270678</v>
      </c>
      <c r="B3" s="30" t="str">
        <f>IFERROR(__xludf.DUMMYFUNCTION("""COMPUTED_VALUE"""),"Ubuntu 14.04 LTS / 16.04 LTS / 18.04 LTS / 20.04 LTS / 24.04 LTS / 25.04 / 25.10 : Redis vulnerability (USN-7824-1)")</f>
        <v>Ubuntu 14.04 LTS / 16.04 LTS / 18.04 LTS / 20.04 LTS / 24.04 LTS / 25.04 / 25.10 : Redis vulnerability (USN-7824-1)</v>
      </c>
      <c r="C3" s="31">
        <f>IFERROR(__xludf.DUMMYFUNCTION("""COMPUTED_VALUE"""),9.833333333333334)</f>
        <v>9.833333333</v>
      </c>
      <c r="D3" s="29" t="str">
        <f>IFERROR(__xludf.DUMMYFUNCTION("""COMPUTED_VALUE"""),"10.20.30.12")</f>
        <v>10.20.30.12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 t="str">
        <f>IFERROR(__xludf.DUMMYFUNCTION("""COMPUTED_VALUE"""),"297660")</f>
        <v>297660</v>
      </c>
      <c r="B4" s="30" t="str">
        <f>IFERROR(__xludf.DUMMYFUNCTION("""COMPUTED_VALUE"""),"Ubuntu 22.04 LTS / 24.04 LTS / 25.10 : Inetutils vulnerability (USN-7992-1)")</f>
        <v>Ubuntu 22.04 LTS / 24.04 LTS / 25.10 : Inetutils vulnerability (USN-7992-1)</v>
      </c>
      <c r="C4" s="31">
        <f>IFERROR(__xludf.DUMMYFUNCTION("""COMPUTED_VALUE"""),9.8)</f>
        <v>9.8</v>
      </c>
      <c r="D4" s="29" t="str">
        <f>IFERROR(__xludf.DUMMYFUNCTION("""COMPUTED_VALUE"""),"10.20.30.12")</f>
        <v>10.20.30.12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 t="str">
        <f>IFERROR(__xludf.DUMMYFUNCTION("""COMPUTED_VALUE"""),"234681")</f>
        <v>234681</v>
      </c>
      <c r="B5" s="30" t="str">
        <f>IFERROR(__xludf.DUMMYFUNCTION("""COMPUTED_VALUE"""),"Ubuntu 14.04 LTS / 16.04 LTS / 18.04 LTS / 20.04 LTS / 22.04 LTS / 24.04 LTS : Eclipse Mosquitto vulnerabilities (USN-7441-1)")</f>
        <v>Ubuntu 14.04 LTS / 16.04 LTS / 18.04 LTS / 20.04 LTS / 22.04 LTS / 24.04 LTS : Eclipse Mosquitto vulnerabilities (USN-7441-1)</v>
      </c>
      <c r="C5" s="31">
        <f>IFERROR(__xludf.DUMMYFUNCTION("""COMPUTED_VALUE"""),9.8)</f>
        <v>9.8</v>
      </c>
      <c r="D5" s="29" t="str">
        <f>IFERROR(__xludf.DUMMYFUNCTION("""COMPUTED_VALUE"""),"10.20.30.12")</f>
        <v>10.20.30.12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 t="str">
        <f>IFERROR(__xludf.DUMMYFUNCTION("""COMPUTED_VALUE"""),"288869")</f>
        <v>288869</v>
      </c>
      <c r="B6" s="30" t="str">
        <f>IFERROR(__xludf.DUMMYFUNCTION("""COMPUTED_VALUE"""),"Ubuntu 14.04 LTS / 16.04 LTS / 18.04 LTS / 20.04 LTS / 22.04 LTS / 24.04 LTS / 25.04 / 25.10 : klibc vulnerabilities (USN-7959-1)")</f>
        <v>Ubuntu 14.04 LTS / 16.04 LTS / 18.04 LTS / 20.04 LTS / 22.04 LTS / 24.04 LTS / 25.04 / 25.10 : klibc vulnerabilities (USN-7959-1)</v>
      </c>
      <c r="C6" s="31">
        <f>IFERROR(__xludf.DUMMYFUNCTION("""COMPUTED_VALUE"""),9.8)</f>
        <v>9.8</v>
      </c>
      <c r="D6" s="29" t="str">
        <f>IFERROR(__xludf.DUMMYFUNCTION("""COMPUTED_VALUE"""),"10.20.30.12")</f>
        <v>10.20.30.12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3" t="str">
        <f>IFERROR(__xludf.DUMMYFUNCTION("""COMPUTED_VALUE"""),"261428")</f>
        <v>261428</v>
      </c>
      <c r="B7" s="22" t="str">
        <f>IFERROR(__xludf.DUMMYFUNCTION("""COMPUTED_VALUE"""),"Ubuntu 18.04 LTS / 20.04 LTS / 22.04 LTS / 24.04 LTS / 25.04 : Ruby vulnerabilities (USN-7734-1)")</f>
        <v>Ubuntu 18.04 LTS / 20.04 LTS / 22.04 LTS / 24.04 LTS / 25.04 : Ruby vulnerabilities (USN-7734-1)</v>
      </c>
      <c r="C7" s="34">
        <f>IFERROR(__xludf.DUMMYFUNCTION("""COMPUTED_VALUE"""),9.8)</f>
        <v>9.8</v>
      </c>
      <c r="D7" s="29" t="str">
        <f>IFERROR(__xludf.DUMMYFUNCTION("""COMPUTED_VALUE"""),"10.20.30.12")</f>
        <v>10.20.30.12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3" t="str">
        <f>IFERROR(__xludf.DUMMYFUNCTION("""COMPUTED_VALUE"""),"216780")</f>
        <v>216780</v>
      </c>
      <c r="B8" s="22" t="str">
        <f>IFERROR(__xludf.DUMMYFUNCTION("""COMPUTED_VALUE"""),"Ubuntu 14.04 LTS / 16.04 LTS / 18.04 LTS / 20.04 LTS / 22.04 LTS / 24.04 LTS / 24.10 : libxml2 vulnerabilities (USN-7302-1)")</f>
        <v>Ubuntu 14.04 LTS / 16.04 LTS / 18.04 LTS / 20.04 LTS / 22.04 LTS / 24.04 LTS / 24.10 : libxml2 vulnerabilities (USN-7302-1)</v>
      </c>
      <c r="C8" s="34">
        <f>IFERROR(__xludf.DUMMYFUNCTION("""COMPUTED_VALUE"""),9.8)</f>
        <v>9.8</v>
      </c>
      <c r="D8" s="29" t="str">
        <f>IFERROR(__xludf.DUMMYFUNCTION("""COMPUTED_VALUE"""),"10.20.30.12")</f>
        <v>10.20.30.12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3" t="str">
        <f>IFERROR(__xludf.DUMMYFUNCTION("""COMPUTED_VALUE"""),"205548")</f>
        <v>205548</v>
      </c>
      <c r="B9" s="22" t="str">
        <f>IFERROR(__xludf.DUMMYFUNCTION("""COMPUTED_VALUE"""),"Ubuntu 20.04 LTS / 22.04 LTS / 24.04 LTS : BusyBox vulnerabilities (USN-6961-1)")</f>
        <v>Ubuntu 20.04 LTS / 22.04 LTS / 24.04 LTS : BusyBox vulnerabilities (USN-6961-1)</v>
      </c>
      <c r="C9" s="34">
        <f>IFERROR(__xludf.DUMMYFUNCTION("""COMPUTED_VALUE"""),9.8)</f>
        <v>9.8</v>
      </c>
      <c r="D9" s="29" t="str">
        <f>IFERROR(__xludf.DUMMYFUNCTION("""COMPUTED_VALUE"""),"10.20.30.12")</f>
        <v>10.20.30.12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3" t="str">
        <f>IFERROR(__xludf.DUMMYFUNCTION("""COMPUTED_VALUE"""),"209121")</f>
        <v>209121</v>
      </c>
      <c r="B10" s="22" t="str">
        <f>IFERROR(__xludf.DUMMYFUNCTION("""COMPUTED_VALUE"""),"Ubuntu 14.04 LTS / 16.04 LTS / 18.04 LTS / 20.04 LTS / 22.04 LTS / 24.04 LTS : libarchive vulnerabilities (USN-7070-1)")</f>
        <v>Ubuntu 14.04 LTS / 16.04 LTS / 18.04 LTS / 20.04 LTS / 22.04 LTS / 24.04 LTS : libarchive vulnerabilities (USN-7070-1)</v>
      </c>
      <c r="C10" s="34">
        <f>IFERROR(__xludf.DUMMYFUNCTION("""COMPUTED_VALUE"""),9.8)</f>
        <v>9.8</v>
      </c>
      <c r="D10" s="29" t="str">
        <f>IFERROR(__xludf.DUMMYFUNCTION("""COMPUTED_VALUE"""),"10.20.30.12")</f>
        <v>10.20.30.12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3" t="str">
        <f>IFERROR(__xludf.DUMMYFUNCTION("""COMPUTED_VALUE"""),"211522")</f>
        <v>211522</v>
      </c>
      <c r="B11" s="22" t="str">
        <f>IFERROR(__xludf.DUMMYFUNCTION("""COMPUTED_VALUE"""),"Ubuntu 16.04 LTS / 18.04 LTS / 20.04 LTS / 22.04 LTS / 24.04 LTS : GLib vulnerability (USN-7114-1)")</f>
        <v>Ubuntu 16.04 LTS / 18.04 LTS / 20.04 LTS / 22.04 LTS / 24.04 LTS : GLib vulnerability (USN-7114-1)</v>
      </c>
      <c r="C11" s="34">
        <f>IFERROR(__xludf.DUMMYFUNCTION("""COMPUTED_VALUE"""),9.8)</f>
        <v>9.8</v>
      </c>
      <c r="D11" s="29" t="str">
        <f>IFERROR(__xludf.DUMMYFUNCTION("""COMPUTED_VALUE"""),"10.20.30.12")</f>
        <v>10.20.30.12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3" t="str">
        <f>IFERROR(__xludf.DUMMYFUNCTION("""COMPUTED_VALUE"""),"234343")</f>
        <v>234343</v>
      </c>
      <c r="B12" s="22" t="str">
        <f>IFERROR(__xludf.DUMMYFUNCTION("""COMPUTED_VALUE"""),"Ubuntu 22.04 LTS / 24.04 LTS / 24.10 : Perl vulnerability (USN-7434-1)")</f>
        <v>Ubuntu 22.04 LTS / 24.04 LTS / 24.10 : Perl vulnerability (USN-7434-1)</v>
      </c>
      <c r="C12" s="34">
        <f>IFERROR(__xludf.DUMMYFUNCTION("""COMPUTED_VALUE"""),9.8)</f>
        <v>9.8</v>
      </c>
      <c r="D12" s="29" t="str">
        <f>IFERROR(__xludf.DUMMYFUNCTION("""COMPUTED_VALUE"""),"10.20.30.12")</f>
        <v>10.20.30.12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3" t="str">
        <f>IFERROR(__xludf.DUMMYFUNCTION("""COMPUTED_VALUE"""),"265698")</f>
        <v>265698</v>
      </c>
      <c r="B13" s="22" t="str">
        <f>IFERROR(__xludf.DUMMYFUNCTION("""COMPUTED_VALUE"""),"Ubuntu 18.04 LTS / 20.04 LTS / 22.04 LTS / 24.04 LTS / 25.04 : OpenJPEG vulnerabilities (USN-7757-1)")</f>
        <v>Ubuntu 18.04 LTS / 20.04 LTS / 22.04 LTS / 24.04 LTS / 25.04 : OpenJPEG vulnerabilities (USN-7757-1)</v>
      </c>
      <c r="C13" s="34">
        <f>IFERROR(__xludf.DUMMYFUNCTION("""COMPUTED_VALUE"""),9.8)</f>
        <v>9.8</v>
      </c>
      <c r="D13" s="29" t="str">
        <f>IFERROR(__xludf.DUMMYFUNCTION("""COMPUTED_VALUE"""),"10.20.30.12")</f>
        <v>10.20.30.12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3" t="str">
        <f>IFERROR(__xludf.DUMMYFUNCTION("""COMPUTED_VALUE"""),"241063")</f>
        <v>241063</v>
      </c>
      <c r="B14" s="22" t="str">
        <f>IFERROR(__xludf.DUMMYFUNCTION("""COMPUTED_VALUE"""),"Ubuntu 22.04 LTS / 24.04 LTS / 24.10 / 25.04 : libarchive vulnerabilities (USN-7601-1)")</f>
        <v>Ubuntu 22.04 LTS / 24.04 LTS / 24.10 / 25.04 : libarchive vulnerabilities (USN-7601-1)</v>
      </c>
      <c r="C14" s="34">
        <f>IFERROR(__xludf.DUMMYFUNCTION("""COMPUTED_VALUE"""),9.8)</f>
        <v>9.8</v>
      </c>
      <c r="D14" s="29" t="str">
        <f>IFERROR(__xludf.DUMMYFUNCTION("""COMPUTED_VALUE"""),"10.20.30.12")</f>
        <v>10.20.30.12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3" t="str">
        <f>IFERROR(__xludf.DUMMYFUNCTION("""COMPUTED_VALUE"""),"233470")</f>
        <v>233470</v>
      </c>
      <c r="B15" s="22" t="str">
        <f>IFERROR(__xludf.DUMMYFUNCTION("""COMPUTED_VALUE"""),"Ubuntu 20.04 LTS / 22.04 LTS / 24.04 LTS / 24.10 : Ghostscript vulnerabilities (USN-7378-1)")</f>
        <v>Ubuntu 20.04 LTS / 22.04 LTS / 24.04 LTS / 24.10 : Ghostscript vulnerabilities (USN-7378-1)</v>
      </c>
      <c r="C15" s="34">
        <f>IFERROR(__xludf.DUMMYFUNCTION("""COMPUTED_VALUE"""),9.8)</f>
        <v>9.8</v>
      </c>
      <c r="D15" s="29" t="str">
        <f>IFERROR(__xludf.DUMMYFUNCTION("""COMPUTED_VALUE"""),"10.20.30.12")</f>
        <v>10.20.30.12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3" t="str">
        <f>IFERROR(__xludf.DUMMYFUNCTION("""COMPUTED_VALUE"""),"233831")</f>
        <v>233831</v>
      </c>
      <c r="B16" s="22" t="str">
        <f>IFERROR(__xludf.DUMMYFUNCTION("""COMPUTED_VALUE"""),"Ubuntu 24.04 LTS / 24.10 : XZ Utils vulnerability (USN-7414-1)")</f>
        <v>Ubuntu 24.04 LTS / 24.10 : XZ Utils vulnerability (USN-7414-1)</v>
      </c>
      <c r="C16" s="34">
        <f>IFERROR(__xludf.DUMMYFUNCTION("""COMPUTED_VALUE"""),9.8)</f>
        <v>9.8</v>
      </c>
      <c r="D16" s="29" t="str">
        <f>IFERROR(__xludf.DUMMYFUNCTION("""COMPUTED_VALUE"""),"10.20.30.12")</f>
        <v>10.20.30.12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3" t="str">
        <f>IFERROR(__xludf.DUMMYFUNCTION("""COMPUTED_VALUE"""),"265092")</f>
        <v>265092</v>
      </c>
      <c r="B17" s="22" t="str">
        <f>IFERROR(__xludf.DUMMYFUNCTION("""COMPUTED_VALUE"""),"Ubuntu 24.04 LTS / 25.04 : SQLite vulnerability (USN-7751-1)")</f>
        <v>Ubuntu 24.04 LTS / 25.04 : SQLite vulnerability (USN-7751-1)</v>
      </c>
      <c r="C17" s="34">
        <f>IFERROR(__xludf.DUMMYFUNCTION("""COMPUTED_VALUE"""),9.8)</f>
        <v>9.8</v>
      </c>
      <c r="D17" s="29" t="str">
        <f>IFERROR(__xludf.DUMMYFUNCTION("""COMPUTED_VALUE"""),"10.20.30.12")</f>
        <v>10.20.30.12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3" t="str">
        <f>IFERROR(__xludf.DUMMYFUNCTION("""COMPUTED_VALUE"""),"213189")</f>
        <v>213189</v>
      </c>
      <c r="B18" s="22" t="str">
        <f>IFERROR(__xludf.DUMMYFUNCTION("""COMPUTED_VALUE"""),"Ubuntu 20.04 LTS / 22.04 LTS / 24.04 LTS / 24.10 : GStreamer vulnerability (USN-7174-1)")</f>
        <v>Ubuntu 20.04 LTS / 22.04 LTS / 24.04 LTS / 24.10 : GStreamer vulnerability (USN-7174-1)</v>
      </c>
      <c r="C18" s="34">
        <f>IFERROR(__xludf.DUMMYFUNCTION("""COMPUTED_VALUE"""),9.6)</f>
        <v>9.6</v>
      </c>
      <c r="D18" s="29" t="str">
        <f>IFERROR(__xludf.DUMMYFUNCTION("""COMPUTED_VALUE"""),"10.20.30.12")</f>
        <v>10.20.30.12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3" t="str">
        <f>IFERROR(__xludf.DUMMYFUNCTION("""COMPUTED_VALUE"""),"207059")</f>
        <v>207059</v>
      </c>
      <c r="B19" s="22" t="str">
        <f>IFERROR(__xludf.DUMMYFUNCTION("""COMPUTED_VALUE"""),"Ubuntu 14.04 LTS / 16.04 LTS / 18.04 LTS / 20.04 LTS / 24.04 LTS : Expat vulnerabilities (USN-7000-1)")</f>
        <v>Ubuntu 14.04 LTS / 16.04 LTS / 18.04 LTS / 20.04 LTS / 24.04 LTS : Expat vulnerabilities (USN-7000-1)</v>
      </c>
      <c r="C19" s="34">
        <f>IFERROR(__xludf.DUMMYFUNCTION("""COMPUTED_VALUE"""),9.6)</f>
        <v>9.6</v>
      </c>
      <c r="D19" s="29" t="str">
        <f>IFERROR(__xludf.DUMMYFUNCTION("""COMPUTED_VALUE"""),"10.20.30.12")</f>
        <v>10.20.30.12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3" t="str">
        <f>IFERROR(__xludf.DUMMYFUNCTION("""COMPUTED_VALUE"""),"243033")</f>
        <v>243033</v>
      </c>
      <c r="B20" s="22" t="str">
        <f>IFERROR(__xludf.DUMMYFUNCTION("""COMPUTED_VALUE"""),"Ubuntu 22.04 LTS / 24.04 LTS / 25.04 : SQLite vulnerability (USN-7676-1)")</f>
        <v>Ubuntu 22.04 LTS / 24.04 LTS / 25.04 : SQLite vulnerability (USN-7676-1)</v>
      </c>
      <c r="C20" s="34">
        <f>IFERROR(__xludf.DUMMYFUNCTION("""COMPUTED_VALUE"""),9.6)</f>
        <v>9.6</v>
      </c>
      <c r="D20" s="29" t="str">
        <f>IFERROR(__xludf.DUMMYFUNCTION("""COMPUTED_VALUE"""),"10.20.30.12")</f>
        <v>10.20.30.12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3" t="str">
        <f>IFERROR(__xludf.DUMMYFUNCTION("""COMPUTED_VALUE"""),"282466")</f>
        <v>282466</v>
      </c>
      <c r="B21" s="22" t="str">
        <f>IFERROR(__xludf.DUMMYFUNCTION("""COMPUTED_VALUE"""),"Ubuntu 14.04 LTS / 16.04 LTS / 18.04 LTS / 20.04 LTS / 22.04 LTS / 24.04 LTS / 25.04 / 25.10 : Net-SNMP vulnerability (USN-7944-1)")</f>
        <v>Ubuntu 14.04 LTS / 16.04 LTS / 18.04 LTS / 20.04 LTS / 22.04 LTS / 24.04 LTS / 25.04 / 25.10 : Net-SNMP vulnerability (USN-7944-1)</v>
      </c>
      <c r="C21" s="34">
        <f>IFERROR(__xludf.DUMMYFUNCTION("""COMPUTED_VALUE"""),9.6)</f>
        <v>9.6</v>
      </c>
      <c r="D21" s="29" t="str">
        <f>IFERROR(__xludf.DUMMYFUNCTION("""COMPUTED_VALUE"""),"10.20.30.12")</f>
        <v>10.20.30.12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3" t="str">
        <f>IFERROR(__xludf.DUMMYFUNCTION("""COMPUTED_VALUE"""),"200162")</f>
        <v>200162</v>
      </c>
      <c r="B22" s="22" t="str">
        <f>IFERROR(__xludf.DUMMYFUNCTION("""COMPUTED_VALUE"""),"PHP 8.2x &lt; 8.2.20 Multiple Vulnerabilities")</f>
        <v>PHP 8.2x &lt; 8.2.20 Multiple Vulnerabilities</v>
      </c>
      <c r="C22" s="34">
        <f>IFERROR(__xludf.DUMMYFUNCTION("""COMPUTED_VALUE"""),9.433333333333334)</f>
        <v>9.433333333</v>
      </c>
      <c r="D22" s="29" t="str">
        <f>IFERROR(__xludf.DUMMYFUNCTION("""COMPUTED_VALUE"""),"10.20.30.10 (megaquagga.local)")</f>
        <v>10.20.30.10 (megaquagga.local)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3" t="str">
        <f>IFERROR(__xludf.DUMMYFUNCTION("""COMPUTED_VALUE"""),"179906")</f>
        <v>179906</v>
      </c>
      <c r="B23" s="22" t="str">
        <f>IFERROR(__xludf.DUMMYFUNCTION("""COMPUTED_VALUE"""),"PHP 8.2x &lt; 8.2.9 Multiple Vulnerabilities")</f>
        <v>PHP 8.2x &lt; 8.2.9 Multiple Vulnerabilities</v>
      </c>
      <c r="C23" s="34">
        <f>IFERROR(__xludf.DUMMYFUNCTION("""COMPUTED_VALUE"""),9.433333333333334)</f>
        <v>9.433333333</v>
      </c>
      <c r="D23" s="29" t="str">
        <f>IFERROR(__xludf.DUMMYFUNCTION("""COMPUTED_VALUE"""),"10.20.30.10 (megaquagga.local)")</f>
        <v>10.20.30.10 (megaquagga.local)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3" t="str">
        <f>IFERROR(__xludf.DUMMYFUNCTION("""COMPUTED_VALUE"""),"211671")</f>
        <v>211671</v>
      </c>
      <c r="B24" s="22" t="str">
        <f>IFERROR(__xludf.DUMMYFUNCTION("""COMPUTED_VALUE"""),"PHP 8.2x &lt; 8.2.26 Multiple Vulnerabilities")</f>
        <v>PHP 8.2x &lt; 8.2.26 Multiple Vulnerabilities</v>
      </c>
      <c r="C24" s="34">
        <f>IFERROR(__xludf.DUMMYFUNCTION("""COMPUTED_VALUE"""),9.433333333333334)</f>
        <v>9.433333333</v>
      </c>
      <c r="D24" s="29" t="str">
        <f>IFERROR(__xludf.DUMMYFUNCTION("""COMPUTED_VALUE"""),"10.20.30.10 (megaquagga.local)")</f>
        <v>10.20.30.10 (megaquagga.local)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3" t="str">
        <f>IFERROR(__xludf.DUMMYFUNCTION("""COMPUTED_VALUE"""),"240210")</f>
        <v>240210</v>
      </c>
      <c r="B25" s="22" t="str">
        <f>IFERROR(__xludf.DUMMYFUNCTION("""COMPUTED_VALUE"""),"Ubuntu 24.04 LTS / 24.10 / 25.04 : Python vulnerabilities (USN-7583-1)")</f>
        <v>Ubuntu 24.04 LTS / 24.10 / 25.04 : Python vulnerabilities (USN-7583-1)</v>
      </c>
      <c r="C25" s="34">
        <f>IFERROR(__xludf.DUMMYFUNCTION("""COMPUTED_VALUE"""),9.4)</f>
        <v>9.4</v>
      </c>
      <c r="D25" s="29" t="str">
        <f>IFERROR(__xludf.DUMMYFUNCTION("""COMPUTED_VALUE"""),"10.20.30.12")</f>
        <v>10.20.30.12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3" t="str">
        <f>IFERROR(__xludf.DUMMYFUNCTION("""COMPUTED_VALUE"""),"204924")</f>
        <v>204924</v>
      </c>
      <c r="B26" s="22" t="str">
        <f>IFERROR(__xludf.DUMMYFUNCTION("""COMPUTED_VALUE"""),"Ubuntu 20.04 LTS / 22.04 LTS / 24.04 LTS : OpenSSL vulnerabilities (USN-6937-1)")</f>
        <v>Ubuntu 20.04 LTS / 22.04 LTS / 24.04 LTS : OpenSSL vulnerabilities (USN-6937-1)</v>
      </c>
      <c r="C26" s="34">
        <f>IFERROR(__xludf.DUMMYFUNCTION("""COMPUTED_VALUE"""),9.1)</f>
        <v>9.1</v>
      </c>
      <c r="D26" s="29" t="str">
        <f>IFERROR(__xludf.DUMMYFUNCTION("""COMPUTED_VALUE"""),"10.20.30.12")</f>
        <v>10.20.30.12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3" t="str">
        <f>IFERROR(__xludf.DUMMYFUNCTION("""COMPUTED_VALUE"""),"205195")</f>
        <v>205195</v>
      </c>
      <c r="B27" s="22" t="str">
        <f>IFERROR(__xludf.DUMMYFUNCTION("""COMPUTED_VALUE"""),"Ubuntu 14.04 LTS / 16.04 LTS / 18.04 LTS / 20.04 LTS / 22.04 LTS / 24.04 LTS : Kerberos vulnerabilities (USN-6947-1)")</f>
        <v>Ubuntu 14.04 LTS / 16.04 LTS / 18.04 LTS / 20.04 LTS / 22.04 LTS / 24.04 LTS : Kerberos vulnerabilities (USN-6947-1)</v>
      </c>
      <c r="C27" s="34">
        <f>IFERROR(__xludf.DUMMYFUNCTION("""COMPUTED_VALUE"""),9.1)</f>
        <v>9.1</v>
      </c>
      <c r="D27" s="29" t="str">
        <f>IFERROR(__xludf.DUMMYFUNCTION("""COMPUTED_VALUE"""),"10.20.30.12")</f>
        <v>10.20.30.12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3" t="str">
        <f>IFERROR(__xludf.DUMMYFUNCTION("""COMPUTED_VALUE"""),"214997")</f>
        <v>214997</v>
      </c>
      <c r="B28" s="22" t="str">
        <f>IFERROR(__xludf.DUMMYFUNCTION("""COMPUTED_VALUE"""),"Ubuntu 14.04 LTS / 16.04 LTS / 18.04 LTS / 20.04 LTS / 22.04 LTS / 24.04 LTS / 24.10 : Kerberos vulnerability (USN-7257-1)")</f>
        <v>Ubuntu 14.04 LTS / 16.04 LTS / 18.04 LTS / 20.04 LTS / 22.04 LTS / 24.04 LTS / 24.10 : Kerberos vulnerability (USN-7257-1)</v>
      </c>
      <c r="C28" s="34">
        <f>IFERROR(__xludf.DUMMYFUNCTION("""COMPUTED_VALUE"""),9.0)</f>
        <v>9</v>
      </c>
      <c r="D28" s="29" t="str">
        <f>IFERROR(__xludf.DUMMYFUNCTION("""COMPUTED_VALUE"""),"10.20.30.12")</f>
        <v>10.20.30.12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3" t="str">
        <f>IFERROR(__xludf.DUMMYFUNCTION("""COMPUTED_VALUE"""),"207822")</f>
        <v>207822</v>
      </c>
      <c r="B29" s="22" t="str">
        <f>IFERROR(__xludf.DUMMYFUNCTION("""COMPUTED_VALUE"""),"PHP 8.2.x &lt; 8.2.24 Multiple Vulnerabilities")</f>
        <v>PHP 8.2.x &lt; 8.2.24 Multiple Vulnerabilities</v>
      </c>
      <c r="C29" s="34">
        <f>IFERROR(__xludf.DUMMYFUNCTION("""COMPUTED_VALUE"""),8.8)</f>
        <v>8.8</v>
      </c>
      <c r="D29" s="29" t="str">
        <f>IFERROR(__xludf.DUMMYFUNCTION("""COMPUTED_VALUE"""),"10.20.30.10 (megaquagga.local)")</f>
        <v>10.20.30.10 (megaquagga.local)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3" t="str">
        <f>IFERROR(__xludf.DUMMYFUNCTION("""COMPUTED_VALUE"""),"241066")</f>
        <v>241066</v>
      </c>
      <c r="B30" s="22" t="str">
        <f>IFERROR(__xludf.DUMMYFUNCTION("""COMPUTED_VALUE"""),"Ubuntu 22.04 LTS / 24.04 LTS / 24.10 / 25.04 : Sudo vulnerabilities (USN-7604-1)")</f>
        <v>Ubuntu 22.04 LTS / 24.04 LTS / 24.10 / 25.04 : Sudo vulnerabilities (USN-7604-1)</v>
      </c>
      <c r="C30" s="34">
        <f>IFERROR(__xludf.DUMMYFUNCTION("""COMPUTED_VALUE"""),8.8)</f>
        <v>8.8</v>
      </c>
      <c r="D30" s="29" t="str">
        <f>IFERROR(__xludf.DUMMYFUNCTION("""COMPUTED_VALUE"""),"10.20.30.12")</f>
        <v>10.20.30.12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3" t="str">
        <f>IFERROR(__xludf.DUMMYFUNCTION("""COMPUTED_VALUE"""),"214801")</f>
        <v>214801</v>
      </c>
      <c r="B31" s="22" t="str">
        <f>IFERROR(__xludf.DUMMYFUNCTION("""COMPUTED_VALUE"""),"Ubuntu 18.04 LTS / 20.04 LTS / 22.04 LTS / 24.04 LTS / 24.10 : Jinja2 vulnerabilities (USN-7244-1)")</f>
        <v>Ubuntu 18.04 LTS / 20.04 LTS / 22.04 LTS / 24.04 LTS / 24.10 : Jinja2 vulnerabilities (USN-7244-1)</v>
      </c>
      <c r="C31" s="34">
        <f>IFERROR(__xludf.DUMMYFUNCTION("""COMPUTED_VALUE"""),8.8)</f>
        <v>8.8</v>
      </c>
      <c r="D31" s="29" t="str">
        <f>IFERROR(__xludf.DUMMYFUNCTION("""COMPUTED_VALUE"""),"10.20.30.12")</f>
        <v>10.20.30.12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3" t="str">
        <f>IFERROR(__xludf.DUMMYFUNCTION("""COMPUTED_VALUE"""),"211997")</f>
        <v>211997</v>
      </c>
      <c r="B32" s="22" t="str">
        <f>IFERROR(__xludf.DUMMYFUNCTION("""COMPUTED_VALUE"""),"Ubuntu 20.04 LTS / 22.04 LTS / 24.04 LTS / 24.10 : PostgreSQL vulnerabilities (USN-7132-1)")</f>
        <v>Ubuntu 20.04 LTS / 22.04 LTS / 24.04 LTS / 24.10 : PostgreSQL vulnerabilities (USN-7132-1)</v>
      </c>
      <c r="C32" s="34">
        <f>IFERROR(__xludf.DUMMYFUNCTION("""COMPUTED_VALUE"""),8.8)</f>
        <v>8.8</v>
      </c>
      <c r="D32" s="29" t="str">
        <f>IFERROR(__xludf.DUMMYFUNCTION("""COMPUTED_VALUE"""),"10.20.30.12")</f>
        <v>10.20.30.12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3" t="str">
        <f>IFERROR(__xludf.DUMMYFUNCTION("""COMPUTED_VALUE"""),"207058")</f>
        <v>207058</v>
      </c>
      <c r="B33" s="22" t="str">
        <f>IFERROR(__xludf.DUMMYFUNCTION("""COMPUTED_VALUE"""),"Ubuntu 14.04 LTS / 16.04 LTS / 18.04 LTS / 20.04 LTS / 22.04 LTS / 24.04 LTS : Setuptools vulnerability (USN-7002-1)")</f>
        <v>Ubuntu 14.04 LTS / 16.04 LTS / 18.04 LTS / 20.04 LTS / 22.04 LTS / 24.04 LTS : Setuptools vulnerability (USN-7002-1)</v>
      </c>
      <c r="C33" s="34">
        <f>IFERROR(__xludf.DUMMYFUNCTION("""COMPUTED_VALUE"""),8.8)</f>
        <v>8.8</v>
      </c>
      <c r="D33" s="29" t="str">
        <f>IFERROR(__xludf.DUMMYFUNCTION("""COMPUTED_VALUE"""),"10.20.30.12")</f>
        <v>10.20.30.12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3" t="str">
        <f>IFERROR(__xludf.DUMMYFUNCTION("""COMPUTED_VALUE"""),"266308")</f>
        <v>266308</v>
      </c>
      <c r="B34" s="22" t="str">
        <f>IFERROR(__xludf.DUMMYFUNCTION("""COMPUTED_VALUE"""),"Ubuntu 14.04 LTS / 16.04 LTS / 18.04 LTS / 20.04 LTS / 22.04 LTS / 24.04 LTS / 25.04 : LibTIFF vulnerabilities (USN-7783-1)")</f>
        <v>Ubuntu 14.04 LTS / 16.04 LTS / 18.04 LTS / 20.04 LTS / 22.04 LTS / 24.04 LTS / 25.04 : LibTIFF vulnerabilities (USN-7783-1)</v>
      </c>
      <c r="C34" s="34">
        <f>IFERROR(__xludf.DUMMYFUNCTION("""COMPUTED_VALUE"""),8.8)</f>
        <v>8.8</v>
      </c>
      <c r="D34" s="29" t="str">
        <f>IFERROR(__xludf.DUMMYFUNCTION("""COMPUTED_VALUE"""),"10.20.30.12")</f>
        <v>10.20.30.12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3" t="str">
        <f>IFERROR(__xludf.DUMMYFUNCTION("""COMPUTED_VALUE"""),"212270")</f>
        <v>212270</v>
      </c>
      <c r="B35" s="22" t="str">
        <f>IFERROR(__xludf.DUMMYFUNCTION("""COMPUTED_VALUE"""),"Ubuntu 16.04 LTS / 18.04 LTS / 20.04 LTS / 22.04 LTS / 24.04 LTS / 24.10 : Intel Microcode vulnerabilities (USN-7149-1)")</f>
        <v>Ubuntu 16.04 LTS / 18.04 LTS / 20.04 LTS / 22.04 LTS / 24.04 LTS / 24.10 : Intel Microcode vulnerabilities (USN-7149-1)</v>
      </c>
      <c r="C35" s="34">
        <f>IFERROR(__xludf.DUMMYFUNCTION("""COMPUTED_VALUE"""),8.8)</f>
        <v>8.8</v>
      </c>
      <c r="D35" s="29" t="str">
        <f>IFERROR(__xludf.DUMMYFUNCTION("""COMPUTED_VALUE"""),"10.20.30.12")</f>
        <v>10.20.30.12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3" t="str">
        <f>IFERROR(__xludf.DUMMYFUNCTION("""COMPUTED_VALUE"""),"243039")</f>
        <v>243039</v>
      </c>
      <c r="B36" s="22" t="str">
        <f>IFERROR(__xludf.DUMMYFUNCTION("""COMPUTED_VALUE"""),"Ubuntu 16.04 LTS / 18.04 LTS / 20.04 LTS / 22.04 LTS / 24.04 LTS / 25.04 : cloud-init vulnerabilities (USN-7677-1)")</f>
        <v>Ubuntu 16.04 LTS / 18.04 LTS / 20.04 LTS / 22.04 LTS / 24.04 LTS / 25.04 : cloud-init vulnerabilities (USN-7677-1)</v>
      </c>
      <c r="C36" s="34">
        <f>IFERROR(__xludf.DUMMYFUNCTION("""COMPUTED_VALUE"""),8.8)</f>
        <v>8.8</v>
      </c>
      <c r="D36" s="29" t="str">
        <f>IFERROR(__xludf.DUMMYFUNCTION("""COMPUTED_VALUE"""),"10.20.30.12")</f>
        <v>10.20.30.12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3" t="str">
        <f>IFERROR(__xludf.DUMMYFUNCTION("""COMPUTED_VALUE"""),"232707")</f>
        <v>232707</v>
      </c>
      <c r="B37" s="22" t="str">
        <f>IFERROR(__xludf.DUMMYFUNCTION("""COMPUTED_VALUE"""),"PHP 8.2.x &lt; 8.2.28 Multiple Vulnerabilities")</f>
        <v>PHP 8.2.x &lt; 8.2.28 Multiple Vulnerabilities</v>
      </c>
      <c r="C37" s="34">
        <f>IFERROR(__xludf.DUMMYFUNCTION("""COMPUTED_VALUE"""),8.6)</f>
        <v>8.6</v>
      </c>
      <c r="D37" s="29" t="str">
        <f>IFERROR(__xludf.DUMMYFUNCTION("""COMPUTED_VALUE"""),"10.20.30.10 (megaquagga.local)")</f>
        <v>10.20.30.10 (megaquagga.local)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3" t="str">
        <f>IFERROR(__xludf.DUMMYFUNCTION("""COMPUTED_VALUE"""),"241622")</f>
        <v>241622</v>
      </c>
      <c r="B38" s="22" t="str">
        <f>IFERROR(__xludf.DUMMYFUNCTION("""COMPUTED_VALUE"""),"Ubuntu 16.04 LTS / 18.04 LTS / 20.04 LTS / 22.04 LTS / 24.04 LTS / 24.10 / 25.04 : Git vulnerabilities (USN-7626-1)")</f>
        <v>Ubuntu 16.04 LTS / 18.04 LTS / 20.04 LTS / 22.04 LTS / 24.04 LTS / 24.10 / 25.04 : Git vulnerabilities (USN-7626-1)</v>
      </c>
      <c r="C38" s="34">
        <f>IFERROR(__xludf.DUMMYFUNCTION("""COMPUTED_VALUE"""),8.6)</f>
        <v>8.6</v>
      </c>
      <c r="D38" s="29" t="str">
        <f>IFERROR(__xludf.DUMMYFUNCTION("""COMPUTED_VALUE"""),"10.20.30.12")</f>
        <v>10.20.30.12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3" t="str">
        <f>IFERROR(__xludf.DUMMYFUNCTION("""COMPUTED_VALUE"""),"241291")</f>
        <v>241291</v>
      </c>
      <c r="B39" s="22" t="str">
        <f>IFERROR(__xludf.DUMMYFUNCTION("""COMPUTED_VALUE"""),"PHP 8.2.x &lt; 8.2.29 Multiple Vulnerabilities")</f>
        <v>PHP 8.2.x &lt; 8.2.29 Multiple Vulnerabilities</v>
      </c>
      <c r="C39" s="34">
        <f>IFERROR(__xludf.DUMMYFUNCTION("""COMPUTED_VALUE"""),7.5)</f>
        <v>7.5</v>
      </c>
      <c r="D39" s="29" t="str">
        <f>IFERROR(__xludf.DUMMYFUNCTION("""COMPUTED_VALUE"""),"10.20.30.10 (megaquagga.local)")</f>
        <v>10.20.30.10 (megaquagga.local)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3" t="str">
        <f>IFERROR(__xludf.DUMMYFUNCTION("""COMPUTED_VALUE"""),"279274")</f>
        <v>279274</v>
      </c>
      <c r="B40" s="22" t="str">
        <f>IFERROR(__xludf.DUMMYFUNCTION("""COMPUTED_VALUE"""),"PHP 8.2.x &lt; 8.2.30 Multiple Vulnerabilities")</f>
        <v>PHP 8.2.x &lt; 8.2.30 Multiple Vulnerabilities</v>
      </c>
      <c r="C40" s="34">
        <f>IFERROR(__xludf.DUMMYFUNCTION("""COMPUTED_VALUE"""),7.5)</f>
        <v>7.5</v>
      </c>
      <c r="D40" s="29" t="str">
        <f>IFERROR(__xludf.DUMMYFUNCTION("""COMPUTED_VALUE"""),"10.20.30.10 (megaquagga.local)")</f>
        <v>10.20.30.10 (megaquagga.local)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3" t="str">
        <f>IFERROR(__xludf.DUMMYFUNCTION("""COMPUTED_VALUE"""),"142591")</f>
        <v>142591</v>
      </c>
      <c r="B41" s="22" t="str">
        <f>IFERROR(__xludf.DUMMYFUNCTION("""COMPUTED_VALUE"""),"PHP &lt; 7.3.24 Multiple Vulnerabilities")</f>
        <v>PHP &lt; 7.3.24 Multiple Vulnerabilities</v>
      </c>
      <c r="C41" s="34">
        <f>IFERROR(__xludf.DUMMYFUNCTION("""COMPUTED_VALUE"""),7.5)</f>
        <v>7.5</v>
      </c>
      <c r="D41" s="29" t="str">
        <f>IFERROR(__xludf.DUMMYFUNCTION("""COMPUTED_VALUE"""),"10.20.30.10 (megaquagga.local)")</f>
        <v>10.20.30.10 (megaquagga.local)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3" t="str">
        <f>IFERROR(__xludf.DUMMYFUNCTION("""COMPUTED_VALUE"""),"42873")</f>
        <v>42873</v>
      </c>
      <c r="B42" s="22" t="str">
        <f>IFERROR(__xludf.DUMMYFUNCTION("""COMPUTED_VALUE"""),"SSL Medium Strength Cipher Suites Supported (SWEET32)")</f>
        <v>SSL Medium Strength Cipher Suites Supported (SWEET32)</v>
      </c>
      <c r="C42" s="34">
        <f>IFERROR(__xludf.DUMMYFUNCTION("""COMPUTED_VALUE"""),7.5)</f>
        <v>7.5</v>
      </c>
      <c r="D42" s="29" t="str">
        <f>IFERROR(__xludf.DUMMYFUNCTION("""COMPUTED_VALUE"""),"10.20.30.11")</f>
        <v>10.20.30.11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3" t="str">
        <f>IFERROR(__xludf.DUMMYFUNCTION("""COMPUTED_VALUE"""),"193191")</f>
        <v>193191</v>
      </c>
      <c r="B43" s="22" t="str">
        <f>IFERROR(__xludf.DUMMYFUNCTION("""COMPUTED_VALUE"""),"PHP 8.2.x &lt; 8.2.18 Multiple Vulnerabilities")</f>
        <v>PHP 8.2.x &lt; 8.2.18 Multiple Vulnerabilities</v>
      </c>
      <c r="C43" s="34">
        <f>IFERROR(__xludf.DUMMYFUNCTION("""COMPUTED_VALUE"""),6.5)</f>
        <v>6.5</v>
      </c>
      <c r="D43" s="29" t="str">
        <f>IFERROR(__xludf.DUMMYFUNCTION("""COMPUTED_VALUE"""),"10.20.30.10 (megaquagga.local)")</f>
        <v>10.20.30.10 (megaquagga.local)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3" t="str">
        <f>IFERROR(__xludf.DUMMYFUNCTION("""COMPUTED_VALUE"""),"51192")</f>
        <v>51192</v>
      </c>
      <c r="B44" s="22" t="str">
        <f>IFERROR(__xludf.DUMMYFUNCTION("""COMPUTED_VALUE"""),"SSL Certificate Cannot Be Trusted")</f>
        <v>SSL Certificate Cannot Be Trusted</v>
      </c>
      <c r="C44" s="34">
        <f>IFERROR(__xludf.DUMMYFUNCTION("""COMPUTED_VALUE"""),6.5)</f>
        <v>6.5</v>
      </c>
      <c r="D44" s="29" t="str">
        <f>IFERROR(__xludf.DUMMYFUNCTION("""COMPUTED_VALUE"""),"10.20.30.11")</f>
        <v>10.20.30.11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3" t="str">
        <f>IFERROR(__xludf.DUMMYFUNCTION("""COMPUTED_VALUE"""),"57582")</f>
        <v>57582</v>
      </c>
      <c r="B45" s="22" t="str">
        <f>IFERROR(__xludf.DUMMYFUNCTION("""COMPUTED_VALUE"""),"SSL Self-Signed Certificate")</f>
        <v>SSL Self-Signed Certificate</v>
      </c>
      <c r="C45" s="34">
        <f>IFERROR(__xludf.DUMMYFUNCTION("""COMPUTED_VALUE"""),6.5)</f>
        <v>6.5</v>
      </c>
      <c r="D45" s="29" t="str">
        <f>IFERROR(__xludf.DUMMYFUNCTION("""COMPUTED_VALUE"""),"10.20.30.11")</f>
        <v>10.20.30.11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3" t="str">
        <f>IFERROR(__xludf.DUMMYFUNCTION("""COMPUTED_VALUE"""),"152853")</f>
        <v>152853</v>
      </c>
      <c r="B46" s="22" t="str">
        <f>IFERROR(__xludf.DUMMYFUNCTION("""COMPUTED_VALUE"""),"PHP &lt; 7.3.28 Email Header Injection")</f>
        <v>PHP &lt; 7.3.28 Email Header Injection</v>
      </c>
      <c r="C46" s="34">
        <f>IFERROR(__xludf.DUMMYFUNCTION("""COMPUTED_VALUE"""),5.3)</f>
        <v>5.3</v>
      </c>
      <c r="D46" s="29" t="str">
        <f>IFERROR(__xludf.DUMMYFUNCTION("""COMPUTED_VALUE"""),"10.20.30.10 (megaquagga.local)")</f>
        <v>10.20.30.10 (megaquagga.local)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3" t="str">
        <f>IFERROR(__xludf.DUMMYFUNCTION("""COMPUTED_VALUE"""),"57608")</f>
        <v>57608</v>
      </c>
      <c r="B47" s="22" t="str">
        <f>IFERROR(__xludf.DUMMYFUNCTION("""COMPUTED_VALUE"""),"SMB Signing not required")</f>
        <v>SMB Signing not required</v>
      </c>
      <c r="C47" s="34">
        <f>IFERROR(__xludf.DUMMYFUNCTION("""COMPUTED_VALUE"""),5.3)</f>
        <v>5.3</v>
      </c>
      <c r="D47" s="29" t="str">
        <f>IFERROR(__xludf.DUMMYFUNCTION("""COMPUTED_VALUE"""),"10.20.30.11")</f>
        <v>10.20.30.11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3" t="str">
        <f>IFERROR(__xludf.DUMMYFUNCTION("""COMPUTED_VALUE"""),"10114")</f>
        <v>10114</v>
      </c>
      <c r="B48" s="22" t="str">
        <f>IFERROR(__xludf.DUMMYFUNCTION("""COMPUTED_VALUE"""),"ICMP Timestamp Request Remote Date Disclosure")</f>
        <v>ICMP Timestamp Request Remote Date Disclosure</v>
      </c>
      <c r="C48" s="34">
        <f>IFERROR(__xludf.DUMMYFUNCTION("""COMPUTED_VALUE"""),2.1)</f>
        <v>2.1</v>
      </c>
      <c r="D48" s="29" t="str">
        <f>IFERROR(__xludf.DUMMYFUNCTION("""COMPUTED_VALUE"""),"10.20.30.11")</f>
        <v>10.20.30.11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2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2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2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2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2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2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2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2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2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2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2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2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2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2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2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2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2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2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2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2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2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2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2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2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2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2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2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2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2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2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2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2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2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2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2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2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2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2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2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2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2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2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2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2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2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2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2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2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2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2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2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2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2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2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2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2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2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2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2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2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2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2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2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2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2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2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2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2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2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2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2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2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2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2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2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2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2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2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2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2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2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2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2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2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2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2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2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2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2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2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2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2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2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2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2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2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2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2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2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2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2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2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2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2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2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2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2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2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2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2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2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2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2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2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2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2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2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2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2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2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2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2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2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2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2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2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2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2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2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2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2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2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2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2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2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2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2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2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2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2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2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2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2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2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2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2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2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2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2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2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2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2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2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2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2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2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2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2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2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2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2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2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2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2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2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2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2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2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2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2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2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2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2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2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2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2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2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2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2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2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2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2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2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2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2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2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2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2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2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2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2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2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2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2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2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2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2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2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2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2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2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2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2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2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2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2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2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2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2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2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2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2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2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2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2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2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2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2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2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2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2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2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2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2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2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2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2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2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2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2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2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2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2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2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2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2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2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2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2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2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2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2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2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2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2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2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2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2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2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2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2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2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2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2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2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2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2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2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2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2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2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2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2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2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2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2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2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2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2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2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2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2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2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2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2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2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2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2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2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2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2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2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2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2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2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2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2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2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2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2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2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2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2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2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2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2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2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2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2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2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2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2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2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2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2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2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2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2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2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2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2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2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2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2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2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2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2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2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2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2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2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2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2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2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2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2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2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2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2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2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2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2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2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2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2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2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2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2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2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2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2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2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2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2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2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2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2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2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2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2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2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2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2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2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2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2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2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2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2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2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2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2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2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2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2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2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2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2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2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2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2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2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2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2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2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2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2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2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2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2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2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2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2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2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2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2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2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2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2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2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2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2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2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2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2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2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2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2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2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2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2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2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2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2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2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2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2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2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2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2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2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2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2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2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2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2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2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2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2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2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2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2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2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2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2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2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2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2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2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2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2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2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2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2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2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2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2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2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2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2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2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2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2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2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2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2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2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2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2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2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2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2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2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2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2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2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2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2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2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2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2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2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2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2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2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2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2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2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2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2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2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2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2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2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2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2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2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2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2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2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2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2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2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2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2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2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2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2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2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2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2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2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2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2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2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2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2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2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2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2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2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2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2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2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2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2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2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2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2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2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2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2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2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2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2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2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2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2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2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2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2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2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2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2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2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2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2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2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2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2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2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2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2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2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2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2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2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2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2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2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2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2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2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2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2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2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2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2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2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2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2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2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2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2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2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2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2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2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2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2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2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2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2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2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2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2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2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2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2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2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2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2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2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2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2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2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2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2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2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2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2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2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2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2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2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2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2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2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2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2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2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2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2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2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2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2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2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2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2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2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2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2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2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2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2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2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2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2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2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2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2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2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2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2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2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2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2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2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2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2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2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2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2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2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2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2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2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2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2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2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2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2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2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2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2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2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2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2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2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2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2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2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2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2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2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2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2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2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2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2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2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2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2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2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2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2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2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2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2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2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2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2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2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2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2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2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2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2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2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2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2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2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2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2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2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2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2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2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2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2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2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2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2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2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2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2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2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2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2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2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2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2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2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2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2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2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2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2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2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2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2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2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2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2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2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2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2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2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2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2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2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2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2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2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2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2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2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2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2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2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2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2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2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2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2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2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2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2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2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2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2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2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2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2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2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2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2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2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2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2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2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2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2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2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2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2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2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2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2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2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2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2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2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2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2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2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2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2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2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2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2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2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2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2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2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2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2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2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2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2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2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2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2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2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2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2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2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2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2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2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2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2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2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2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2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2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2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2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2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2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2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2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2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2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2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2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2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2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2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2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2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2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2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2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2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2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2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2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2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2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2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2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2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2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2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2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2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2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2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2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2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2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2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2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2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2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2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2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2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2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2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2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2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2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2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2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2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2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2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2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2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2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2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2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2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2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2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2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2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2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2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2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2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2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2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2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2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2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2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2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2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2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2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2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2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2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2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2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2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2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2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2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2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2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2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2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2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2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2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2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2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2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2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2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2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2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2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2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2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2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2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2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2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2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2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2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2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2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2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2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2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2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2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2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2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2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2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2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2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2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2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2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2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2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2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2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2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2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2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2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2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2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2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2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2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2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2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2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2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2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2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2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2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2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2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2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2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2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2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2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2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2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2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2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2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2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2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2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2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2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2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2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conditionalFormatting sqref="C1:C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0.0"/>
    <col customWidth="1" min="3" max="3" width="90.38"/>
  </cols>
  <sheetData>
    <row r="1">
      <c r="A1" s="35" t="s">
        <v>195</v>
      </c>
      <c r="B1" s="35" t="s">
        <v>196</v>
      </c>
      <c r="C1" s="35"/>
    </row>
    <row r="2">
      <c r="A2" s="18" t="s">
        <v>31</v>
      </c>
      <c r="B2" s="25">
        <f>COUNTIF('VULNERABILITY ASSESSMENT'!B:B, "Critical")</f>
        <v>27</v>
      </c>
      <c r="C2" s="25"/>
    </row>
    <row r="3">
      <c r="A3" s="18" t="s">
        <v>48</v>
      </c>
      <c r="B3" s="25">
        <f>COUNTIF('VULNERABILITY ASSESSMENT'!B:B, "High")</f>
        <v>14</v>
      </c>
      <c r="C3" s="25"/>
    </row>
    <row r="4">
      <c r="A4" s="18" t="s">
        <v>68</v>
      </c>
      <c r="B4" s="36">
        <f>COUNTIF('VULNERABILITY ASSESSMENT'!B:B, "Medium")</f>
        <v>5</v>
      </c>
      <c r="C4" s="36"/>
    </row>
    <row r="5">
      <c r="A5" s="18" t="s">
        <v>89</v>
      </c>
      <c r="B5" s="25">
        <f>COUNTIF('VULNERABILITY ASSESSMENT'!B:B, "Low")</f>
        <v>1</v>
      </c>
      <c r="C5" s="25"/>
    </row>
    <row r="6">
      <c r="A6" s="18" t="s">
        <v>197</v>
      </c>
      <c r="B6" s="25">
        <f>COUNTIF('VULNERABILITY ASSESSMENT'!B:B, "Informational")</f>
        <v>0</v>
      </c>
      <c r="C6" s="25"/>
    </row>
    <row r="7" ht="292.5" customHeight="1">
      <c r="A7" s="18"/>
      <c r="B7" s="25"/>
      <c r="C7" s="25"/>
    </row>
  </sheetData>
  <dataValidations>
    <dataValidation type="list" allowBlank="1" showErrorMessage="1" sqref="A2:A6">
      <formula1>"Critical,High,Medium,Low,Informational"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45.13"/>
    <col customWidth="1" min="3" max="3" width="10.0"/>
    <col customWidth="1" min="4" max="4" width="19.25"/>
    <col customWidth="1" min="5" max="5" width="39.13"/>
    <col customWidth="1" min="6" max="6" width="39.38"/>
  </cols>
  <sheetData>
    <row r="1">
      <c r="A1" s="27" t="s">
        <v>3</v>
      </c>
      <c r="B1" s="28" t="s">
        <v>4</v>
      </c>
      <c r="C1" s="27" t="s">
        <v>9</v>
      </c>
      <c r="D1" s="5" t="s">
        <v>0</v>
      </c>
      <c r="E1" s="1" t="s">
        <v>6</v>
      </c>
      <c r="F1" s="1" t="s">
        <v>198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37" t="str">
        <f>IFERROR(__xludf.DUMMYFUNCTION("SORT( FILTER( {'VULNERABILITY ASSESSMENT'!D4:D1001, 'VULNERABILITY ASSESSMENT'!E4:E1001, 'VULNERABILITY ASSESSMENT'!J4:J1001, 'VULNERABILITY ASSESSMENT'!A4:A1001, 'VULNERABILITY ASSESSMENT'!G4:G1001}, LEN('VULNERABILITY ASSESSMENT'!D4:D1001) &gt; 0 ), 3, FAL"&amp;"SE )"),"58987")</f>
        <v>58987</v>
      </c>
      <c r="B2" s="22" t="str">
        <f>IFERROR(__xludf.DUMMYFUNCTION("""COMPUTED_VALUE"""),"PHP Unsupported Version Detected")</f>
        <v>PHP Unsupported Version Detected</v>
      </c>
      <c r="C2" s="21">
        <f>IFERROR(__xludf.DUMMYFUNCTION("""COMPUTED_VALUE"""),10.0)</f>
        <v>10</v>
      </c>
      <c r="D2" s="22" t="str">
        <f>IFERROR(__xludf.DUMMYFUNCTION("""COMPUTED_VALUE"""),"10.20.30.10 (megaquagga.local)")</f>
        <v>10.20.30.10 (megaquagga.local)</v>
      </c>
      <c r="E2" s="22" t="str">
        <f>IFERROR(__xludf.DUMMYFUNCTION("""COMPUTED_VALUE"""),"Upgrade to a version of PHP that is currently supported.")</f>
        <v>Upgrade to a version of PHP that is currently supported.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30" t="str">
        <f>IFERROR(__xludf.DUMMYFUNCTION("""COMPUTED_VALUE"""),"270678")</f>
        <v>270678</v>
      </c>
      <c r="B3" s="22" t="str">
        <f>IFERROR(__xludf.DUMMYFUNCTION("""COMPUTED_VALUE"""),"Ubuntu 14.04 LTS / 16.04 LTS / 18.04 LTS / 20.04 LTS / 24.04 LTS / 25.04 / 25.10 : Redis vulnerability (USN-7824-1)")</f>
        <v>Ubuntu 14.04 LTS / 16.04 LTS / 18.04 LTS / 20.04 LTS / 24.04 LTS / 25.04 / 25.10 : Redis vulnerability (USN-7824-1)</v>
      </c>
      <c r="C3" s="21">
        <f>IFERROR(__xludf.DUMMYFUNCTION("""COMPUTED_VALUE"""),9.833333333333334)</f>
        <v>9.833333333</v>
      </c>
      <c r="D3" s="22" t="str">
        <f>IFERROR(__xludf.DUMMYFUNCTION("""COMPUTED_VALUE"""),"10.20.30.12")</f>
        <v>10.20.30.12</v>
      </c>
      <c r="E3" s="22" t="str">
        <f>IFERROR(__xludf.DUMMYFUNCTION("""COMPUTED_VALUE"""),"Update the affected packages.")</f>
        <v>Update the affected packages.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30" t="str">
        <f>IFERROR(__xludf.DUMMYFUNCTION("""COMPUTED_VALUE"""),"297660")</f>
        <v>297660</v>
      </c>
      <c r="B4" s="22" t="str">
        <f>IFERROR(__xludf.DUMMYFUNCTION("""COMPUTED_VALUE"""),"Ubuntu 22.04 LTS / 24.04 LTS / 25.10 : Inetutils vulnerability (USN-7992-1)")</f>
        <v>Ubuntu 22.04 LTS / 24.04 LTS / 25.10 : Inetutils vulnerability (USN-7992-1)</v>
      </c>
      <c r="C4" s="21">
        <f>IFERROR(__xludf.DUMMYFUNCTION("""COMPUTED_VALUE"""),9.8)</f>
        <v>9.8</v>
      </c>
      <c r="D4" s="22" t="str">
        <f>IFERROR(__xludf.DUMMYFUNCTION("""COMPUTED_VALUE"""),"10.20.30.12")</f>
        <v>10.20.30.12</v>
      </c>
      <c r="E4" s="22" t="str">
        <f>IFERROR(__xludf.DUMMYFUNCTION("""COMPUTED_VALUE"""),"Update the affected packages.")</f>
        <v>Update the affected packages.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30" t="str">
        <f>IFERROR(__xludf.DUMMYFUNCTION("""COMPUTED_VALUE"""),"234681")</f>
        <v>234681</v>
      </c>
      <c r="B5" s="22" t="str">
        <f>IFERROR(__xludf.DUMMYFUNCTION("""COMPUTED_VALUE"""),"Ubuntu 14.04 LTS / 16.04 LTS / 18.04 LTS / 20.04 LTS / 22.04 LTS / 24.04 LTS : Eclipse Mosquitto vulnerabilities (USN-7441-1)")</f>
        <v>Ubuntu 14.04 LTS / 16.04 LTS / 18.04 LTS / 20.04 LTS / 22.04 LTS / 24.04 LTS : Eclipse Mosquitto vulnerabilities (USN-7441-1)</v>
      </c>
      <c r="C5" s="21">
        <f>IFERROR(__xludf.DUMMYFUNCTION("""COMPUTED_VALUE"""),9.8)</f>
        <v>9.8</v>
      </c>
      <c r="D5" s="22" t="str">
        <f>IFERROR(__xludf.DUMMYFUNCTION("""COMPUTED_VALUE"""),"10.20.30.12")</f>
        <v>10.20.30.12</v>
      </c>
      <c r="E5" s="22" t="str">
        <f>IFERROR(__xludf.DUMMYFUNCTION("""COMPUTED_VALUE"""),"Update the affected packages.")</f>
        <v>Update the affected packages.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30" t="str">
        <f>IFERROR(__xludf.DUMMYFUNCTION("""COMPUTED_VALUE"""),"288869")</f>
        <v>288869</v>
      </c>
      <c r="B6" s="22" t="str">
        <f>IFERROR(__xludf.DUMMYFUNCTION("""COMPUTED_VALUE"""),"Ubuntu 14.04 LTS / 16.04 LTS / 18.04 LTS / 20.04 LTS / 22.04 LTS / 24.04 LTS / 25.04 / 25.10 : klibc vulnerabilities (USN-7959-1)")</f>
        <v>Ubuntu 14.04 LTS / 16.04 LTS / 18.04 LTS / 20.04 LTS / 22.04 LTS / 24.04 LTS / 25.04 / 25.10 : klibc vulnerabilities (USN-7959-1)</v>
      </c>
      <c r="C6" s="21">
        <f>IFERROR(__xludf.DUMMYFUNCTION("""COMPUTED_VALUE"""),9.8)</f>
        <v>9.8</v>
      </c>
      <c r="D6" s="22" t="str">
        <f>IFERROR(__xludf.DUMMYFUNCTION("""COMPUTED_VALUE"""),"10.20.30.12")</f>
        <v>10.20.30.12</v>
      </c>
      <c r="E6" s="22" t="str">
        <f>IFERROR(__xludf.DUMMYFUNCTION("""COMPUTED_VALUE"""),"Update the affected klibc-utils, libklibc and / or libklibc-dev packages.")</f>
        <v>Update the affected klibc-utils, libklibc and / or libklibc-dev packages.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30" t="str">
        <f>IFERROR(__xludf.DUMMYFUNCTION("""COMPUTED_VALUE"""),"261428")</f>
        <v>261428</v>
      </c>
      <c r="B7" s="22" t="str">
        <f>IFERROR(__xludf.DUMMYFUNCTION("""COMPUTED_VALUE"""),"Ubuntu 18.04 LTS / 20.04 LTS / 22.04 LTS / 24.04 LTS / 25.04 : Ruby vulnerabilities (USN-7734-1)")</f>
        <v>Ubuntu 18.04 LTS / 20.04 LTS / 22.04 LTS / 24.04 LTS / 25.04 : Ruby vulnerabilities (USN-7734-1)</v>
      </c>
      <c r="C7" s="21">
        <f>IFERROR(__xludf.DUMMYFUNCTION("""COMPUTED_VALUE"""),9.8)</f>
        <v>9.8</v>
      </c>
      <c r="D7" s="22" t="str">
        <f>IFERROR(__xludf.DUMMYFUNCTION("""COMPUTED_VALUE"""),"10.20.30.12")</f>
        <v>10.20.30.12</v>
      </c>
      <c r="E7" s="22" t="str">
        <f>IFERROR(__xludf.DUMMYFUNCTION("""COMPUTED_VALUE"""),"Update the affected packages.")</f>
        <v>Update the affected packages.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30" t="str">
        <f>IFERROR(__xludf.DUMMYFUNCTION("""COMPUTED_VALUE"""),"216780")</f>
        <v>216780</v>
      </c>
      <c r="B8" s="22" t="str">
        <f>IFERROR(__xludf.DUMMYFUNCTION("""COMPUTED_VALUE"""),"Ubuntu 14.04 LTS / 16.04 LTS / 18.04 LTS / 20.04 LTS / 22.04 LTS / 24.04 LTS / 24.10 : libxml2 vulnerabilities (USN-7302-1)")</f>
        <v>Ubuntu 14.04 LTS / 16.04 LTS / 18.04 LTS / 20.04 LTS / 22.04 LTS / 24.04 LTS / 24.10 : libxml2 vulnerabilities (USN-7302-1)</v>
      </c>
      <c r="C8" s="21">
        <f>IFERROR(__xludf.DUMMYFUNCTION("""COMPUTED_VALUE"""),9.8)</f>
        <v>9.8</v>
      </c>
      <c r="D8" s="22" t="str">
        <f>IFERROR(__xludf.DUMMYFUNCTION("""COMPUTED_VALUE"""),"10.20.30.12")</f>
        <v>10.20.30.12</v>
      </c>
      <c r="E8" s="22" t="str">
        <f>IFERROR(__xludf.DUMMYFUNCTION("""COMPUTED_VALUE"""),"Update the affected packages.")</f>
        <v>Update the affected packages.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30" t="str">
        <f>IFERROR(__xludf.DUMMYFUNCTION("""COMPUTED_VALUE"""),"205548")</f>
        <v>205548</v>
      </c>
      <c r="B9" s="22" t="str">
        <f>IFERROR(__xludf.DUMMYFUNCTION("""COMPUTED_VALUE"""),"Ubuntu 20.04 LTS / 22.04 LTS / 24.04 LTS : BusyBox vulnerabilities (USN-6961-1)")</f>
        <v>Ubuntu 20.04 LTS / 22.04 LTS / 24.04 LTS : BusyBox vulnerabilities (USN-6961-1)</v>
      </c>
      <c r="C9" s="21">
        <f>IFERROR(__xludf.DUMMYFUNCTION("""COMPUTED_VALUE"""),9.8)</f>
        <v>9.8</v>
      </c>
      <c r="D9" s="22" t="str">
        <f>IFERROR(__xludf.DUMMYFUNCTION("""COMPUTED_VALUE"""),"10.20.30.12")</f>
        <v>10.20.30.12</v>
      </c>
      <c r="E9" s="22" t="str">
        <f>IFERROR(__xludf.DUMMYFUNCTION("""COMPUTED_VALUE"""),"Update the affected packages.")</f>
        <v>Update the affected packages.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30" t="str">
        <f>IFERROR(__xludf.DUMMYFUNCTION("""COMPUTED_VALUE"""),"209121")</f>
        <v>209121</v>
      </c>
      <c r="B10" s="22" t="str">
        <f>IFERROR(__xludf.DUMMYFUNCTION("""COMPUTED_VALUE"""),"Ubuntu 14.04 LTS / 16.04 LTS / 18.04 LTS / 20.04 LTS / 22.04 LTS / 24.04 LTS : libarchive vulnerabilities (USN-7070-1)")</f>
        <v>Ubuntu 14.04 LTS / 16.04 LTS / 18.04 LTS / 20.04 LTS / 22.04 LTS / 24.04 LTS : libarchive vulnerabilities (USN-7070-1)</v>
      </c>
      <c r="C10" s="21">
        <f>IFERROR(__xludf.DUMMYFUNCTION("""COMPUTED_VALUE"""),9.8)</f>
        <v>9.8</v>
      </c>
      <c r="D10" s="22" t="str">
        <f>IFERROR(__xludf.DUMMYFUNCTION("""COMPUTED_VALUE"""),"10.20.30.12")</f>
        <v>10.20.30.12</v>
      </c>
      <c r="E10" s="22" t="str">
        <f>IFERROR(__xludf.DUMMYFUNCTION("""COMPUTED_VALUE"""),"Update the affected packages.")</f>
        <v>Update the affected packages.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30" t="str">
        <f>IFERROR(__xludf.DUMMYFUNCTION("""COMPUTED_VALUE"""),"211522")</f>
        <v>211522</v>
      </c>
      <c r="B11" s="22" t="str">
        <f>IFERROR(__xludf.DUMMYFUNCTION("""COMPUTED_VALUE"""),"Ubuntu 16.04 LTS / 18.04 LTS / 20.04 LTS / 22.04 LTS / 24.04 LTS : GLib vulnerability (USN-7114-1)")</f>
        <v>Ubuntu 16.04 LTS / 18.04 LTS / 20.04 LTS / 22.04 LTS / 24.04 LTS : GLib vulnerability (USN-7114-1)</v>
      </c>
      <c r="C11" s="21">
        <f>IFERROR(__xludf.DUMMYFUNCTION("""COMPUTED_VALUE"""),9.8)</f>
        <v>9.8</v>
      </c>
      <c r="D11" s="22" t="str">
        <f>IFERROR(__xludf.DUMMYFUNCTION("""COMPUTED_VALUE"""),"10.20.30.12")</f>
        <v>10.20.30.12</v>
      </c>
      <c r="E11" s="22" t="str">
        <f>IFERROR(__xludf.DUMMYFUNCTION("""COMPUTED_VALUE"""),"Update the affected packages.")</f>
        <v>Update the affected packages.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30" t="str">
        <f>IFERROR(__xludf.DUMMYFUNCTION("""COMPUTED_VALUE"""),"234343")</f>
        <v>234343</v>
      </c>
      <c r="B12" s="22" t="str">
        <f>IFERROR(__xludf.DUMMYFUNCTION("""COMPUTED_VALUE"""),"Ubuntu 22.04 LTS / 24.04 LTS / 24.10 : Perl vulnerability (USN-7434-1)")</f>
        <v>Ubuntu 22.04 LTS / 24.04 LTS / 24.10 : Perl vulnerability (USN-7434-1)</v>
      </c>
      <c r="C12" s="21">
        <f>IFERROR(__xludf.DUMMYFUNCTION("""COMPUTED_VALUE"""),9.8)</f>
        <v>9.8</v>
      </c>
      <c r="D12" s="22" t="str">
        <f>IFERROR(__xludf.DUMMYFUNCTION("""COMPUTED_VALUE"""),"10.20.30.12")</f>
        <v>10.20.30.12</v>
      </c>
      <c r="E12" s="22" t="str">
        <f>IFERROR(__xludf.DUMMYFUNCTION("""COMPUTED_VALUE"""),"Update the affected packages.")</f>
        <v>Update the affected packages.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30" t="str">
        <f>IFERROR(__xludf.DUMMYFUNCTION("""COMPUTED_VALUE"""),"265698")</f>
        <v>265698</v>
      </c>
      <c r="B13" s="22" t="str">
        <f>IFERROR(__xludf.DUMMYFUNCTION("""COMPUTED_VALUE"""),"Ubuntu 18.04 LTS / 20.04 LTS / 22.04 LTS / 24.04 LTS / 25.04 : OpenJPEG vulnerabilities (USN-7757-1)")</f>
        <v>Ubuntu 18.04 LTS / 20.04 LTS / 22.04 LTS / 24.04 LTS / 25.04 : OpenJPEG vulnerabilities (USN-7757-1)</v>
      </c>
      <c r="C13" s="21">
        <f>IFERROR(__xludf.DUMMYFUNCTION("""COMPUTED_VALUE"""),9.8)</f>
        <v>9.8</v>
      </c>
      <c r="D13" s="22" t="str">
        <f>IFERROR(__xludf.DUMMYFUNCTION("""COMPUTED_VALUE"""),"10.20.30.12")</f>
        <v>10.20.30.12</v>
      </c>
      <c r="E13" s="22" t="str">
        <f>IFERROR(__xludf.DUMMYFUNCTION("""COMPUTED_VALUE"""),"Update the affected packages.")</f>
        <v>Update the affected packages.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30" t="str">
        <f>IFERROR(__xludf.DUMMYFUNCTION("""COMPUTED_VALUE"""),"241063")</f>
        <v>241063</v>
      </c>
      <c r="B14" s="22" t="str">
        <f>IFERROR(__xludf.DUMMYFUNCTION("""COMPUTED_VALUE"""),"Ubuntu 22.04 LTS / 24.04 LTS / 24.10 / 25.04 : libarchive vulnerabilities (USN-7601-1)")</f>
        <v>Ubuntu 22.04 LTS / 24.04 LTS / 24.10 / 25.04 : libarchive vulnerabilities (USN-7601-1)</v>
      </c>
      <c r="C14" s="21">
        <f>IFERROR(__xludf.DUMMYFUNCTION("""COMPUTED_VALUE"""),9.8)</f>
        <v>9.8</v>
      </c>
      <c r="D14" s="22" t="str">
        <f>IFERROR(__xludf.DUMMYFUNCTION("""COMPUTED_VALUE"""),"10.20.30.12")</f>
        <v>10.20.30.12</v>
      </c>
      <c r="E14" s="22" t="str">
        <f>IFERROR(__xludf.DUMMYFUNCTION("""COMPUTED_VALUE"""),"Update the affected packages.")</f>
        <v>Update the affected packages.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30" t="str">
        <f>IFERROR(__xludf.DUMMYFUNCTION("""COMPUTED_VALUE"""),"233470")</f>
        <v>233470</v>
      </c>
      <c r="B15" s="22" t="str">
        <f>IFERROR(__xludf.DUMMYFUNCTION("""COMPUTED_VALUE"""),"Ubuntu 20.04 LTS / 22.04 LTS / 24.04 LTS / 24.10 : Ghostscript vulnerabilities (USN-7378-1)")</f>
        <v>Ubuntu 20.04 LTS / 22.04 LTS / 24.04 LTS / 24.10 : Ghostscript vulnerabilities (USN-7378-1)</v>
      </c>
      <c r="C15" s="21">
        <f>IFERROR(__xludf.DUMMYFUNCTION("""COMPUTED_VALUE"""),9.8)</f>
        <v>9.8</v>
      </c>
      <c r="D15" s="22" t="str">
        <f>IFERROR(__xludf.DUMMYFUNCTION("""COMPUTED_VALUE"""),"10.20.30.12")</f>
        <v>10.20.30.12</v>
      </c>
      <c r="E15" s="22" t="str">
        <f>IFERROR(__xludf.DUMMYFUNCTION("""COMPUTED_VALUE"""),"Update the affected packages.")</f>
        <v>Update the affected packages.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30" t="str">
        <f>IFERROR(__xludf.DUMMYFUNCTION("""COMPUTED_VALUE"""),"233831")</f>
        <v>233831</v>
      </c>
      <c r="B16" s="22" t="str">
        <f>IFERROR(__xludf.DUMMYFUNCTION("""COMPUTED_VALUE"""),"Ubuntu 24.04 LTS / 24.10 : XZ Utils vulnerability (USN-7414-1)")</f>
        <v>Ubuntu 24.04 LTS / 24.10 : XZ Utils vulnerability (USN-7414-1)</v>
      </c>
      <c r="C16" s="21">
        <f>IFERROR(__xludf.DUMMYFUNCTION("""COMPUTED_VALUE"""),9.8)</f>
        <v>9.8</v>
      </c>
      <c r="D16" s="22" t="str">
        <f>IFERROR(__xludf.DUMMYFUNCTION("""COMPUTED_VALUE"""),"10.20.30.12")</f>
        <v>10.20.30.12</v>
      </c>
      <c r="E16" s="22" t="str">
        <f>IFERROR(__xludf.DUMMYFUNCTION("""COMPUTED_VALUE"""),"Update the affected packages.")</f>
        <v>Update the affected packages.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30" t="str">
        <f>IFERROR(__xludf.DUMMYFUNCTION("""COMPUTED_VALUE"""),"265092")</f>
        <v>265092</v>
      </c>
      <c r="B17" s="22" t="str">
        <f>IFERROR(__xludf.DUMMYFUNCTION("""COMPUTED_VALUE"""),"Ubuntu 24.04 LTS / 25.04 : SQLite vulnerability (USN-7751-1)")</f>
        <v>Ubuntu 24.04 LTS / 25.04 : SQLite vulnerability (USN-7751-1)</v>
      </c>
      <c r="C17" s="21">
        <f>IFERROR(__xludf.DUMMYFUNCTION("""COMPUTED_VALUE"""),9.8)</f>
        <v>9.8</v>
      </c>
      <c r="D17" s="22" t="str">
        <f>IFERROR(__xludf.DUMMYFUNCTION("""COMPUTED_VALUE"""),"10.20.30.12")</f>
        <v>10.20.30.12</v>
      </c>
      <c r="E17" s="22" t="str">
        <f>IFERROR(__xludf.DUMMYFUNCTION("""COMPUTED_VALUE"""),"Update the affected packages.")</f>
        <v>Update the affected packages.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30" t="str">
        <f>IFERROR(__xludf.DUMMYFUNCTION("""COMPUTED_VALUE"""),"213189")</f>
        <v>213189</v>
      </c>
      <c r="B18" s="22" t="str">
        <f>IFERROR(__xludf.DUMMYFUNCTION("""COMPUTED_VALUE"""),"Ubuntu 20.04 LTS / 22.04 LTS / 24.04 LTS / 24.10 : GStreamer vulnerability (USN-7174-1)")</f>
        <v>Ubuntu 20.04 LTS / 22.04 LTS / 24.04 LTS / 24.10 : GStreamer vulnerability (USN-7174-1)</v>
      </c>
      <c r="C18" s="21">
        <f>IFERROR(__xludf.DUMMYFUNCTION("""COMPUTED_VALUE"""),9.6)</f>
        <v>9.6</v>
      </c>
      <c r="D18" s="22" t="str">
        <f>IFERROR(__xludf.DUMMYFUNCTION("""COMPUTED_VALUE"""),"10.20.30.12")</f>
        <v>10.20.30.12</v>
      </c>
      <c r="E18" s="22" t="str">
        <f>IFERROR(__xludf.DUMMYFUNCTION("""COMPUTED_VALUE"""),"Update the affected packages.")</f>
        <v>Update the affected packages.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30" t="str">
        <f>IFERROR(__xludf.DUMMYFUNCTION("""COMPUTED_VALUE"""),"207059")</f>
        <v>207059</v>
      </c>
      <c r="B19" s="22" t="str">
        <f>IFERROR(__xludf.DUMMYFUNCTION("""COMPUTED_VALUE"""),"Ubuntu 14.04 LTS / 16.04 LTS / 18.04 LTS / 20.04 LTS / 24.04 LTS : Expat vulnerabilities (USN-7000-1)")</f>
        <v>Ubuntu 14.04 LTS / 16.04 LTS / 18.04 LTS / 20.04 LTS / 24.04 LTS : Expat vulnerabilities (USN-7000-1)</v>
      </c>
      <c r="C19" s="21">
        <f>IFERROR(__xludf.DUMMYFUNCTION("""COMPUTED_VALUE"""),9.6)</f>
        <v>9.6</v>
      </c>
      <c r="D19" s="22" t="str">
        <f>IFERROR(__xludf.DUMMYFUNCTION("""COMPUTED_VALUE"""),"10.20.30.12")</f>
        <v>10.20.30.12</v>
      </c>
      <c r="E19" s="22" t="str">
        <f>IFERROR(__xludf.DUMMYFUNCTION("""COMPUTED_VALUE"""),"Update the affected packages.")</f>
        <v>Update the affected packages.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30" t="str">
        <f>IFERROR(__xludf.DUMMYFUNCTION("""COMPUTED_VALUE"""),"243033")</f>
        <v>243033</v>
      </c>
      <c r="B20" s="22" t="str">
        <f>IFERROR(__xludf.DUMMYFUNCTION("""COMPUTED_VALUE"""),"Ubuntu 22.04 LTS / 24.04 LTS / 25.04 : SQLite vulnerability (USN-7676-1)")</f>
        <v>Ubuntu 22.04 LTS / 24.04 LTS / 25.04 : SQLite vulnerability (USN-7676-1)</v>
      </c>
      <c r="C20" s="21">
        <f>IFERROR(__xludf.DUMMYFUNCTION("""COMPUTED_VALUE"""),9.6)</f>
        <v>9.6</v>
      </c>
      <c r="D20" s="22" t="str">
        <f>IFERROR(__xludf.DUMMYFUNCTION("""COMPUTED_VALUE"""),"10.20.30.12")</f>
        <v>10.20.30.12</v>
      </c>
      <c r="E20" s="22" t="str">
        <f>IFERROR(__xludf.DUMMYFUNCTION("""COMPUTED_VALUE"""),"Update the affected packages.")</f>
        <v>Update the affected packages.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30" t="str">
        <f>IFERROR(__xludf.DUMMYFUNCTION("""COMPUTED_VALUE"""),"282466")</f>
        <v>282466</v>
      </c>
      <c r="B21" s="22" t="str">
        <f>IFERROR(__xludf.DUMMYFUNCTION("""COMPUTED_VALUE"""),"Ubuntu 14.04 LTS / 16.04 LTS / 18.04 LTS / 20.04 LTS / 22.04 LTS / 24.04 LTS / 25.04 / 25.10 : Net-SNMP vulnerability (USN-7944-1)")</f>
        <v>Ubuntu 14.04 LTS / 16.04 LTS / 18.04 LTS / 20.04 LTS / 22.04 LTS / 24.04 LTS / 25.04 / 25.10 : Net-SNMP vulnerability (USN-7944-1)</v>
      </c>
      <c r="C21" s="21">
        <f>IFERROR(__xludf.DUMMYFUNCTION("""COMPUTED_VALUE"""),9.6)</f>
        <v>9.6</v>
      </c>
      <c r="D21" s="22" t="str">
        <f>IFERROR(__xludf.DUMMYFUNCTION("""COMPUTED_VALUE"""),"10.20.30.12")</f>
        <v>10.20.30.12</v>
      </c>
      <c r="E21" s="22" t="str">
        <f>IFERROR(__xludf.DUMMYFUNCTION("""COMPUTED_VALUE"""),"Update the affected packages.")</f>
        <v>Update the affected packages.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30" t="str">
        <f>IFERROR(__xludf.DUMMYFUNCTION("""COMPUTED_VALUE"""),"200162")</f>
        <v>200162</v>
      </c>
      <c r="B22" s="22" t="str">
        <f>IFERROR(__xludf.DUMMYFUNCTION("""COMPUTED_VALUE"""),"PHP 8.2x &lt; 8.2.20 Multiple Vulnerabilities")</f>
        <v>PHP 8.2x &lt; 8.2.20 Multiple Vulnerabilities</v>
      </c>
      <c r="C22" s="21">
        <f>IFERROR(__xludf.DUMMYFUNCTION("""COMPUTED_VALUE"""),9.433333333333334)</f>
        <v>9.433333333</v>
      </c>
      <c r="D22" s="22" t="str">
        <f>IFERROR(__xludf.DUMMYFUNCTION("""COMPUTED_VALUE"""),"10.20.30.10 (megaquagga.local)")</f>
        <v>10.20.30.10 (megaquagga.local)</v>
      </c>
      <c r="E22" s="22" t="str">
        <f>IFERROR(__xludf.DUMMYFUNCTION("""COMPUTED_VALUE"""),"Upgrade to PHP version 8.2.20 or later.")</f>
        <v>Upgrade to PHP version 8.2.20 or later.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30" t="str">
        <f>IFERROR(__xludf.DUMMYFUNCTION("""COMPUTED_VALUE"""),"179906")</f>
        <v>179906</v>
      </c>
      <c r="B23" s="22" t="str">
        <f>IFERROR(__xludf.DUMMYFUNCTION("""COMPUTED_VALUE"""),"PHP 8.2x &lt; 8.2.9 Multiple Vulnerabilities")</f>
        <v>PHP 8.2x &lt; 8.2.9 Multiple Vulnerabilities</v>
      </c>
      <c r="C23" s="21">
        <f>IFERROR(__xludf.DUMMYFUNCTION("""COMPUTED_VALUE"""),9.433333333333334)</f>
        <v>9.433333333</v>
      </c>
      <c r="D23" s="22" t="str">
        <f>IFERROR(__xludf.DUMMYFUNCTION("""COMPUTED_VALUE"""),"10.20.30.10 (megaquagga.local)")</f>
        <v>10.20.30.10 (megaquagga.local)</v>
      </c>
      <c r="E23" s="22" t="str">
        <f>IFERROR(__xludf.DUMMYFUNCTION("""COMPUTED_VALUE"""),"Upgrade to PHP version 8.2.9 or later.")</f>
        <v>Upgrade to PHP version 8.2.9 or later.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30" t="str">
        <f>IFERROR(__xludf.DUMMYFUNCTION("""COMPUTED_VALUE"""),"211671")</f>
        <v>211671</v>
      </c>
      <c r="B24" s="22" t="str">
        <f>IFERROR(__xludf.DUMMYFUNCTION("""COMPUTED_VALUE"""),"PHP 8.2x &lt; 8.2.26 Multiple Vulnerabilities")</f>
        <v>PHP 8.2x &lt; 8.2.26 Multiple Vulnerabilities</v>
      </c>
      <c r="C24" s="21">
        <f>IFERROR(__xludf.DUMMYFUNCTION("""COMPUTED_VALUE"""),9.433333333333334)</f>
        <v>9.433333333</v>
      </c>
      <c r="D24" s="22" t="str">
        <f>IFERROR(__xludf.DUMMYFUNCTION("""COMPUTED_VALUE"""),"10.20.30.10 (megaquagga.local)")</f>
        <v>10.20.30.10 (megaquagga.local)</v>
      </c>
      <c r="E24" s="22" t="str">
        <f>IFERROR(__xludf.DUMMYFUNCTION("""COMPUTED_VALUE"""),"Upgrade to PHP version 8.2.26 or later.")</f>
        <v>Upgrade to PHP version 8.2.26 or later.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30" t="str">
        <f>IFERROR(__xludf.DUMMYFUNCTION("""COMPUTED_VALUE"""),"240210")</f>
        <v>240210</v>
      </c>
      <c r="B25" s="22" t="str">
        <f>IFERROR(__xludf.DUMMYFUNCTION("""COMPUTED_VALUE"""),"Ubuntu 24.04 LTS / 24.10 / 25.04 : Python vulnerabilities (USN-7583-1)")</f>
        <v>Ubuntu 24.04 LTS / 24.10 / 25.04 : Python vulnerabilities (USN-7583-1)</v>
      </c>
      <c r="C25" s="21">
        <f>IFERROR(__xludf.DUMMYFUNCTION("""COMPUTED_VALUE"""),9.4)</f>
        <v>9.4</v>
      </c>
      <c r="D25" s="22" t="str">
        <f>IFERROR(__xludf.DUMMYFUNCTION("""COMPUTED_VALUE"""),"10.20.30.12")</f>
        <v>10.20.30.12</v>
      </c>
      <c r="E25" s="22" t="str">
        <f>IFERROR(__xludf.DUMMYFUNCTION("""COMPUTED_VALUE"""),"Update the affected packages.")</f>
        <v>Update the affected packages.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30" t="str">
        <f>IFERROR(__xludf.DUMMYFUNCTION("""COMPUTED_VALUE"""),"204924")</f>
        <v>204924</v>
      </c>
      <c r="B26" s="22" t="str">
        <f>IFERROR(__xludf.DUMMYFUNCTION("""COMPUTED_VALUE"""),"Ubuntu 20.04 LTS / 22.04 LTS / 24.04 LTS : OpenSSL vulnerabilities (USN-6937-1)")</f>
        <v>Ubuntu 20.04 LTS / 22.04 LTS / 24.04 LTS : OpenSSL vulnerabilities (USN-6937-1)</v>
      </c>
      <c r="C26" s="21">
        <f>IFERROR(__xludf.DUMMYFUNCTION("""COMPUTED_VALUE"""),9.1)</f>
        <v>9.1</v>
      </c>
      <c r="D26" s="22" t="str">
        <f>IFERROR(__xludf.DUMMYFUNCTION("""COMPUTED_VALUE"""),"10.20.30.12")</f>
        <v>10.20.30.12</v>
      </c>
      <c r="E26" s="22" t="str">
        <f>IFERROR(__xludf.DUMMYFUNCTION("""COMPUTED_VALUE"""),"Update the affected packages.")</f>
        <v>Update the affected packages.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30" t="str">
        <f>IFERROR(__xludf.DUMMYFUNCTION("""COMPUTED_VALUE"""),"205195")</f>
        <v>205195</v>
      </c>
      <c r="B27" s="22" t="str">
        <f>IFERROR(__xludf.DUMMYFUNCTION("""COMPUTED_VALUE"""),"Ubuntu 14.04 LTS / 16.04 LTS / 18.04 LTS / 20.04 LTS / 22.04 LTS / 24.04 LTS : Kerberos vulnerabilities (USN-6947-1)")</f>
        <v>Ubuntu 14.04 LTS / 16.04 LTS / 18.04 LTS / 20.04 LTS / 22.04 LTS / 24.04 LTS : Kerberos vulnerabilities (USN-6947-1)</v>
      </c>
      <c r="C27" s="21">
        <f>IFERROR(__xludf.DUMMYFUNCTION("""COMPUTED_VALUE"""),9.1)</f>
        <v>9.1</v>
      </c>
      <c r="D27" s="22" t="str">
        <f>IFERROR(__xludf.DUMMYFUNCTION("""COMPUTED_VALUE"""),"10.20.30.12")</f>
        <v>10.20.30.12</v>
      </c>
      <c r="E27" s="22" t="str">
        <f>IFERROR(__xludf.DUMMYFUNCTION("""COMPUTED_VALUE"""),"Update the affected packages.")</f>
        <v>Update the affected packages.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30" t="str">
        <f>IFERROR(__xludf.DUMMYFUNCTION("""COMPUTED_VALUE"""),"214997")</f>
        <v>214997</v>
      </c>
      <c r="B28" s="22" t="str">
        <f>IFERROR(__xludf.DUMMYFUNCTION("""COMPUTED_VALUE"""),"Ubuntu 14.04 LTS / 16.04 LTS / 18.04 LTS / 20.04 LTS / 22.04 LTS / 24.04 LTS / 24.10 : Kerberos vulnerability (USN-7257-1)")</f>
        <v>Ubuntu 14.04 LTS / 16.04 LTS / 18.04 LTS / 20.04 LTS / 22.04 LTS / 24.04 LTS / 24.10 : Kerberos vulnerability (USN-7257-1)</v>
      </c>
      <c r="C28" s="21">
        <f>IFERROR(__xludf.DUMMYFUNCTION("""COMPUTED_VALUE"""),9.0)</f>
        <v>9</v>
      </c>
      <c r="D28" s="22" t="str">
        <f>IFERROR(__xludf.DUMMYFUNCTION("""COMPUTED_VALUE"""),"10.20.30.12")</f>
        <v>10.20.30.12</v>
      </c>
      <c r="E28" s="22" t="str">
        <f>IFERROR(__xludf.DUMMYFUNCTION("""COMPUTED_VALUE"""),"Update the affected packages.")</f>
        <v>Update the affected packages.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30" t="str">
        <f>IFERROR(__xludf.DUMMYFUNCTION("""COMPUTED_VALUE"""),"207822")</f>
        <v>207822</v>
      </c>
      <c r="B29" s="22" t="str">
        <f>IFERROR(__xludf.DUMMYFUNCTION("""COMPUTED_VALUE"""),"PHP 8.2.x &lt; 8.2.24 Multiple Vulnerabilities")</f>
        <v>PHP 8.2.x &lt; 8.2.24 Multiple Vulnerabilities</v>
      </c>
      <c r="C29" s="21">
        <f>IFERROR(__xludf.DUMMYFUNCTION("""COMPUTED_VALUE"""),8.8)</f>
        <v>8.8</v>
      </c>
      <c r="D29" s="22" t="str">
        <f>IFERROR(__xludf.DUMMYFUNCTION("""COMPUTED_VALUE"""),"10.20.30.10 (megaquagga.local)")</f>
        <v>10.20.30.10 (megaquagga.local)</v>
      </c>
      <c r="E29" s="22" t="str">
        <f>IFERROR(__xludf.DUMMYFUNCTION("""COMPUTED_VALUE"""),"Upgrade to PHP version 8.2.24 or later.")</f>
        <v>Upgrade to PHP version 8.2.24 or later.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30" t="str">
        <f>IFERROR(__xludf.DUMMYFUNCTION("""COMPUTED_VALUE"""),"241066")</f>
        <v>241066</v>
      </c>
      <c r="B30" s="22" t="str">
        <f>IFERROR(__xludf.DUMMYFUNCTION("""COMPUTED_VALUE"""),"Ubuntu 22.04 LTS / 24.04 LTS / 24.10 / 25.04 : Sudo vulnerabilities (USN-7604-1)")</f>
        <v>Ubuntu 22.04 LTS / 24.04 LTS / 24.10 / 25.04 : Sudo vulnerabilities (USN-7604-1)</v>
      </c>
      <c r="C30" s="21">
        <f>IFERROR(__xludf.DUMMYFUNCTION("""COMPUTED_VALUE"""),8.8)</f>
        <v>8.8</v>
      </c>
      <c r="D30" s="22" t="str">
        <f>IFERROR(__xludf.DUMMYFUNCTION("""COMPUTED_VALUE"""),"10.20.30.12")</f>
        <v>10.20.30.12</v>
      </c>
      <c r="E30" s="22" t="str">
        <f>IFERROR(__xludf.DUMMYFUNCTION("""COMPUTED_VALUE"""),"Update the affected libnss-sudo, sudo and / or sudo-ldap packages.")</f>
        <v>Update the affected libnss-sudo, sudo and / or sudo-ldap packages.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30" t="str">
        <f>IFERROR(__xludf.DUMMYFUNCTION("""COMPUTED_VALUE"""),"214801")</f>
        <v>214801</v>
      </c>
      <c r="B31" s="22" t="str">
        <f>IFERROR(__xludf.DUMMYFUNCTION("""COMPUTED_VALUE"""),"Ubuntu 18.04 LTS / 20.04 LTS / 22.04 LTS / 24.04 LTS / 24.10 : Jinja2 vulnerabilities (USN-7244-1)")</f>
        <v>Ubuntu 18.04 LTS / 20.04 LTS / 22.04 LTS / 24.04 LTS / 24.10 : Jinja2 vulnerabilities (USN-7244-1)</v>
      </c>
      <c r="C31" s="21">
        <f>IFERROR(__xludf.DUMMYFUNCTION("""COMPUTED_VALUE"""),8.8)</f>
        <v>8.8</v>
      </c>
      <c r="D31" s="22" t="str">
        <f>IFERROR(__xludf.DUMMYFUNCTION("""COMPUTED_VALUE"""),"10.20.30.12")</f>
        <v>10.20.30.12</v>
      </c>
      <c r="E31" s="22" t="str">
        <f>IFERROR(__xludf.DUMMYFUNCTION("""COMPUTED_VALUE"""),"Update the affected python-jinja2 and / or python3-jinja2 packages.")</f>
        <v>Update the affected python-jinja2 and / or python3-jinja2 packages.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30" t="str">
        <f>IFERROR(__xludf.DUMMYFUNCTION("""COMPUTED_VALUE"""),"211997")</f>
        <v>211997</v>
      </c>
      <c r="B32" s="22" t="str">
        <f>IFERROR(__xludf.DUMMYFUNCTION("""COMPUTED_VALUE"""),"Ubuntu 20.04 LTS / 22.04 LTS / 24.04 LTS / 24.10 : PostgreSQL vulnerabilities (USN-7132-1)")</f>
        <v>Ubuntu 20.04 LTS / 22.04 LTS / 24.04 LTS / 24.10 : PostgreSQL vulnerabilities (USN-7132-1)</v>
      </c>
      <c r="C32" s="21">
        <f>IFERROR(__xludf.DUMMYFUNCTION("""COMPUTED_VALUE"""),8.8)</f>
        <v>8.8</v>
      </c>
      <c r="D32" s="22" t="str">
        <f>IFERROR(__xludf.DUMMYFUNCTION("""COMPUTED_VALUE"""),"10.20.30.12")</f>
        <v>10.20.30.12</v>
      </c>
      <c r="E32" s="22" t="str">
        <f>IFERROR(__xludf.DUMMYFUNCTION("""COMPUTED_VALUE"""),"Update the affected packages.")</f>
        <v>Update the affected packages.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30" t="str">
        <f>IFERROR(__xludf.DUMMYFUNCTION("""COMPUTED_VALUE"""),"207058")</f>
        <v>207058</v>
      </c>
      <c r="B33" s="22" t="str">
        <f>IFERROR(__xludf.DUMMYFUNCTION("""COMPUTED_VALUE"""),"Ubuntu 14.04 LTS / 16.04 LTS / 18.04 LTS / 20.04 LTS / 22.04 LTS / 24.04 LTS : Setuptools vulnerability (USN-7002-1)")</f>
        <v>Ubuntu 14.04 LTS / 16.04 LTS / 18.04 LTS / 20.04 LTS / 22.04 LTS / 24.04 LTS : Setuptools vulnerability (USN-7002-1)</v>
      </c>
      <c r="C33" s="21">
        <f>IFERROR(__xludf.DUMMYFUNCTION("""COMPUTED_VALUE"""),8.8)</f>
        <v>8.8</v>
      </c>
      <c r="D33" s="22" t="str">
        <f>IFERROR(__xludf.DUMMYFUNCTION("""COMPUTED_VALUE"""),"10.20.30.12")</f>
        <v>10.20.30.12</v>
      </c>
      <c r="E33" s="22" t="str">
        <f>IFERROR(__xludf.DUMMYFUNCTION("""COMPUTED_VALUE"""),"Update the affected packages.")</f>
        <v>Update the affected packages.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30" t="str">
        <f>IFERROR(__xludf.DUMMYFUNCTION("""COMPUTED_VALUE"""),"266308")</f>
        <v>266308</v>
      </c>
      <c r="B34" s="22" t="str">
        <f>IFERROR(__xludf.DUMMYFUNCTION("""COMPUTED_VALUE"""),"Ubuntu 14.04 LTS / 16.04 LTS / 18.04 LTS / 20.04 LTS / 22.04 LTS / 24.04 LTS / 25.04 : LibTIFF vulnerabilities (USN-7783-1)")</f>
        <v>Ubuntu 14.04 LTS / 16.04 LTS / 18.04 LTS / 20.04 LTS / 22.04 LTS / 24.04 LTS / 25.04 : LibTIFF vulnerabilities (USN-7783-1)</v>
      </c>
      <c r="C34" s="21">
        <f>IFERROR(__xludf.DUMMYFUNCTION("""COMPUTED_VALUE"""),8.8)</f>
        <v>8.8</v>
      </c>
      <c r="D34" s="22" t="str">
        <f>IFERROR(__xludf.DUMMYFUNCTION("""COMPUTED_VALUE"""),"10.20.30.12")</f>
        <v>10.20.30.12</v>
      </c>
      <c r="E34" s="22" t="str">
        <f>IFERROR(__xludf.DUMMYFUNCTION("""COMPUTED_VALUE"""),"Update the affected packages.")</f>
        <v>Update the affected packages.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30" t="str">
        <f>IFERROR(__xludf.DUMMYFUNCTION("""COMPUTED_VALUE"""),"212270")</f>
        <v>212270</v>
      </c>
      <c r="B35" s="22" t="str">
        <f>IFERROR(__xludf.DUMMYFUNCTION("""COMPUTED_VALUE"""),"Ubuntu 16.04 LTS / 18.04 LTS / 20.04 LTS / 22.04 LTS / 24.04 LTS / 24.10 : Intel Microcode vulnerabilities (USN-7149-1)")</f>
        <v>Ubuntu 16.04 LTS / 18.04 LTS / 20.04 LTS / 22.04 LTS / 24.04 LTS / 24.10 : Intel Microcode vulnerabilities (USN-7149-1)</v>
      </c>
      <c r="C35" s="21">
        <f>IFERROR(__xludf.DUMMYFUNCTION("""COMPUTED_VALUE"""),8.8)</f>
        <v>8.8</v>
      </c>
      <c r="D35" s="22" t="str">
        <f>IFERROR(__xludf.DUMMYFUNCTION("""COMPUTED_VALUE"""),"10.20.30.12")</f>
        <v>10.20.30.12</v>
      </c>
      <c r="E35" s="22" t="str">
        <f>IFERROR(__xludf.DUMMYFUNCTION("""COMPUTED_VALUE"""),"Update the affected intel-microcode package.")</f>
        <v>Update the affected intel-microcode package.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30" t="str">
        <f>IFERROR(__xludf.DUMMYFUNCTION("""COMPUTED_VALUE"""),"243039")</f>
        <v>243039</v>
      </c>
      <c r="B36" s="22" t="str">
        <f>IFERROR(__xludf.DUMMYFUNCTION("""COMPUTED_VALUE"""),"Ubuntu 16.04 LTS / 18.04 LTS / 20.04 LTS / 22.04 LTS / 24.04 LTS / 25.04 : cloud-init vulnerabilities (USN-7677-1)")</f>
        <v>Ubuntu 16.04 LTS / 18.04 LTS / 20.04 LTS / 22.04 LTS / 24.04 LTS / 25.04 : cloud-init vulnerabilities (USN-7677-1)</v>
      </c>
      <c r="C36" s="21">
        <f>IFERROR(__xludf.DUMMYFUNCTION("""COMPUTED_VALUE"""),8.8)</f>
        <v>8.8</v>
      </c>
      <c r="D36" s="22" t="str">
        <f>IFERROR(__xludf.DUMMYFUNCTION("""COMPUTED_VALUE"""),"10.20.30.12")</f>
        <v>10.20.30.12</v>
      </c>
      <c r="E36" s="22" t="str">
        <f>IFERROR(__xludf.DUMMYFUNCTION("""COMPUTED_VALUE"""),"Update the affected packages.")</f>
        <v>Update the affected packages.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30" t="str">
        <f>IFERROR(__xludf.DUMMYFUNCTION("""COMPUTED_VALUE"""),"232707")</f>
        <v>232707</v>
      </c>
      <c r="B37" s="22" t="str">
        <f>IFERROR(__xludf.DUMMYFUNCTION("""COMPUTED_VALUE"""),"PHP 8.2.x &lt; 8.2.28 Multiple Vulnerabilities")</f>
        <v>PHP 8.2.x &lt; 8.2.28 Multiple Vulnerabilities</v>
      </c>
      <c r="C37" s="21">
        <f>IFERROR(__xludf.DUMMYFUNCTION("""COMPUTED_VALUE"""),8.6)</f>
        <v>8.6</v>
      </c>
      <c r="D37" s="22" t="str">
        <f>IFERROR(__xludf.DUMMYFUNCTION("""COMPUTED_VALUE"""),"10.20.30.10 (megaquagga.local)")</f>
        <v>10.20.30.10 (megaquagga.local)</v>
      </c>
      <c r="E37" s="22" t="str">
        <f>IFERROR(__xludf.DUMMYFUNCTION("""COMPUTED_VALUE"""),"Upgrade to PHP version 8.2.28 or later.")</f>
        <v>Upgrade to PHP version 8.2.28 or later.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30" t="str">
        <f>IFERROR(__xludf.DUMMYFUNCTION("""COMPUTED_VALUE"""),"241622")</f>
        <v>241622</v>
      </c>
      <c r="B38" s="22" t="str">
        <f>IFERROR(__xludf.DUMMYFUNCTION("""COMPUTED_VALUE"""),"Ubuntu 16.04 LTS / 18.04 LTS / 20.04 LTS / 22.04 LTS / 24.04 LTS / 24.10 / 25.04 : Git vulnerabilities (USN-7626-1)")</f>
        <v>Ubuntu 16.04 LTS / 18.04 LTS / 20.04 LTS / 22.04 LTS / 24.04 LTS / 24.10 / 25.04 : Git vulnerabilities (USN-7626-1)</v>
      </c>
      <c r="C38" s="21">
        <f>IFERROR(__xludf.DUMMYFUNCTION("""COMPUTED_VALUE"""),8.6)</f>
        <v>8.6</v>
      </c>
      <c r="D38" s="22" t="str">
        <f>IFERROR(__xludf.DUMMYFUNCTION("""COMPUTED_VALUE"""),"10.20.30.12")</f>
        <v>10.20.30.12</v>
      </c>
      <c r="E38" s="22" t="str">
        <f>IFERROR(__xludf.DUMMYFUNCTION("""COMPUTED_VALUE"""),"Update the affected packages.")</f>
        <v>Update the affected packages.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30" t="str">
        <f>IFERROR(__xludf.DUMMYFUNCTION("""COMPUTED_VALUE"""),"241291")</f>
        <v>241291</v>
      </c>
      <c r="B39" s="22" t="str">
        <f>IFERROR(__xludf.DUMMYFUNCTION("""COMPUTED_VALUE"""),"PHP 8.2.x &lt; 8.2.29 Multiple Vulnerabilities")</f>
        <v>PHP 8.2.x &lt; 8.2.29 Multiple Vulnerabilities</v>
      </c>
      <c r="C39" s="21">
        <f>IFERROR(__xludf.DUMMYFUNCTION("""COMPUTED_VALUE"""),7.5)</f>
        <v>7.5</v>
      </c>
      <c r="D39" s="22" t="str">
        <f>IFERROR(__xludf.DUMMYFUNCTION("""COMPUTED_VALUE"""),"10.20.30.10 (megaquagga.local)")</f>
        <v>10.20.30.10 (megaquagga.local)</v>
      </c>
      <c r="E39" s="22" t="str">
        <f>IFERROR(__xludf.DUMMYFUNCTION("""COMPUTED_VALUE"""),"Upgrade to PHP version 8.2.29 or later.")</f>
        <v>Upgrade to PHP version 8.2.29 or later.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30" t="str">
        <f>IFERROR(__xludf.DUMMYFUNCTION("""COMPUTED_VALUE"""),"279274")</f>
        <v>279274</v>
      </c>
      <c r="B40" s="22" t="str">
        <f>IFERROR(__xludf.DUMMYFUNCTION("""COMPUTED_VALUE"""),"PHP 8.2.x &lt; 8.2.30 Multiple Vulnerabilities")</f>
        <v>PHP 8.2.x &lt; 8.2.30 Multiple Vulnerabilities</v>
      </c>
      <c r="C40" s="21">
        <f>IFERROR(__xludf.DUMMYFUNCTION("""COMPUTED_VALUE"""),7.5)</f>
        <v>7.5</v>
      </c>
      <c r="D40" s="22" t="str">
        <f>IFERROR(__xludf.DUMMYFUNCTION("""COMPUTED_VALUE"""),"10.20.30.10 (megaquagga.local)")</f>
        <v>10.20.30.10 (megaquagga.local)</v>
      </c>
      <c r="E40" s="22" t="str">
        <f>IFERROR(__xludf.DUMMYFUNCTION("""COMPUTED_VALUE"""),"Upgrade to PHP version 8.2.30 or later.")</f>
        <v>Upgrade to PHP version 8.2.30 or later.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30" t="str">
        <f>IFERROR(__xludf.DUMMYFUNCTION("""COMPUTED_VALUE"""),"142591")</f>
        <v>142591</v>
      </c>
      <c r="B41" s="22" t="str">
        <f>IFERROR(__xludf.DUMMYFUNCTION("""COMPUTED_VALUE"""),"PHP &lt; 7.3.24 Multiple Vulnerabilities")</f>
        <v>PHP &lt; 7.3.24 Multiple Vulnerabilities</v>
      </c>
      <c r="C41" s="21">
        <f>IFERROR(__xludf.DUMMYFUNCTION("""COMPUTED_VALUE"""),7.5)</f>
        <v>7.5</v>
      </c>
      <c r="D41" s="22" t="str">
        <f>IFERROR(__xludf.DUMMYFUNCTION("""COMPUTED_VALUE"""),"10.20.30.10 (megaquagga.local)")</f>
        <v>10.20.30.10 (megaquagga.local)</v>
      </c>
      <c r="E41" s="22" t="str">
        <f>IFERROR(__xludf.DUMMYFUNCTION("""COMPUTED_VALUE"""),"Upgrade to PHP version 7.3.24 or later.")</f>
        <v>Upgrade to PHP version 7.3.24 or later.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30" t="str">
        <f>IFERROR(__xludf.DUMMYFUNCTION("""COMPUTED_VALUE"""),"42873")</f>
        <v>42873</v>
      </c>
      <c r="B42" s="22" t="str">
        <f>IFERROR(__xludf.DUMMYFUNCTION("""COMPUTED_VALUE"""),"SSL Medium Strength Cipher Suites Supported (SWEET32)")</f>
        <v>SSL Medium Strength Cipher Suites Supported (SWEET32)</v>
      </c>
      <c r="C42" s="21">
        <f>IFERROR(__xludf.DUMMYFUNCTION("""COMPUTED_VALUE"""),7.5)</f>
        <v>7.5</v>
      </c>
      <c r="D42" s="22" t="str">
        <f>IFERROR(__xludf.DUMMYFUNCTION("""COMPUTED_VALUE"""),"10.20.30.11")</f>
        <v>10.20.30.11</v>
      </c>
      <c r="E42" s="22" t="str">
        <f>IFERROR(__xludf.DUMMYFUNCTION("""COMPUTED_VALUE"""),"Reconfigure the affected application if possible to avoid use of medium strength ciphers.")</f>
        <v>Reconfigure the affected application if possible to avoid use of medium strength ciphers.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30" t="str">
        <f>IFERROR(__xludf.DUMMYFUNCTION("""COMPUTED_VALUE"""),"193191")</f>
        <v>193191</v>
      </c>
      <c r="B43" s="22" t="str">
        <f>IFERROR(__xludf.DUMMYFUNCTION("""COMPUTED_VALUE"""),"PHP 8.2.x &lt; 8.2.18 Multiple Vulnerabilities")</f>
        <v>PHP 8.2.x &lt; 8.2.18 Multiple Vulnerabilities</v>
      </c>
      <c r="C43" s="21">
        <f>IFERROR(__xludf.DUMMYFUNCTION("""COMPUTED_VALUE"""),6.5)</f>
        <v>6.5</v>
      </c>
      <c r="D43" s="22" t="str">
        <f>IFERROR(__xludf.DUMMYFUNCTION("""COMPUTED_VALUE"""),"10.20.30.10 (megaquagga.local)")</f>
        <v>10.20.30.10 (megaquagga.local)</v>
      </c>
      <c r="E43" s="22" t="str">
        <f>IFERROR(__xludf.DUMMYFUNCTION("""COMPUTED_VALUE"""),"Upgrade to PHP version 8.2.18 or later.")</f>
        <v>Upgrade to PHP version 8.2.18 or later.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30" t="str">
        <f>IFERROR(__xludf.DUMMYFUNCTION("""COMPUTED_VALUE"""),"51192")</f>
        <v>51192</v>
      </c>
      <c r="B44" s="22" t="str">
        <f>IFERROR(__xludf.DUMMYFUNCTION("""COMPUTED_VALUE"""),"SSL Certificate Cannot Be Trusted")</f>
        <v>SSL Certificate Cannot Be Trusted</v>
      </c>
      <c r="C44" s="21">
        <f>IFERROR(__xludf.DUMMYFUNCTION("""COMPUTED_VALUE"""),6.5)</f>
        <v>6.5</v>
      </c>
      <c r="D44" s="22" t="str">
        <f>IFERROR(__xludf.DUMMYFUNCTION("""COMPUTED_VALUE"""),"10.20.30.11")</f>
        <v>10.20.30.11</v>
      </c>
      <c r="E44" s="22" t="str">
        <f>IFERROR(__xludf.DUMMYFUNCTION("""COMPUTED_VALUE"""),"Purchase or generate a proper SSL certificate for this service.")</f>
        <v>Purchase or generate a proper SSL certificate for this service.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30" t="str">
        <f>IFERROR(__xludf.DUMMYFUNCTION("""COMPUTED_VALUE"""),"57582")</f>
        <v>57582</v>
      </c>
      <c r="B45" s="22" t="str">
        <f>IFERROR(__xludf.DUMMYFUNCTION("""COMPUTED_VALUE"""),"SSL Self-Signed Certificate")</f>
        <v>SSL Self-Signed Certificate</v>
      </c>
      <c r="C45" s="21">
        <f>IFERROR(__xludf.DUMMYFUNCTION("""COMPUTED_VALUE"""),6.5)</f>
        <v>6.5</v>
      </c>
      <c r="D45" s="22" t="str">
        <f>IFERROR(__xludf.DUMMYFUNCTION("""COMPUTED_VALUE"""),"10.20.30.11")</f>
        <v>10.20.30.11</v>
      </c>
      <c r="E45" s="22" t="str">
        <f>IFERROR(__xludf.DUMMYFUNCTION("""COMPUTED_VALUE"""),"Purchase or generate a proper SSL certificate for this service.")</f>
        <v>Purchase or generate a proper SSL certificate for this service.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30" t="str">
        <f>IFERROR(__xludf.DUMMYFUNCTION("""COMPUTED_VALUE"""),"152853")</f>
        <v>152853</v>
      </c>
      <c r="B46" s="22" t="str">
        <f>IFERROR(__xludf.DUMMYFUNCTION("""COMPUTED_VALUE"""),"PHP &lt; 7.3.28 Email Header Injection")</f>
        <v>PHP &lt; 7.3.28 Email Header Injection</v>
      </c>
      <c r="C46" s="21">
        <f>IFERROR(__xludf.DUMMYFUNCTION("""COMPUTED_VALUE"""),5.3)</f>
        <v>5.3</v>
      </c>
      <c r="D46" s="22" t="str">
        <f>IFERROR(__xludf.DUMMYFUNCTION("""COMPUTED_VALUE"""),"10.20.30.10 (megaquagga.local)")</f>
        <v>10.20.30.10 (megaquagga.local)</v>
      </c>
      <c r="E46" s="22" t="str">
        <f>IFERROR(__xludf.DUMMYFUNCTION("""COMPUTED_VALUE"""),"Upgrade to PHP version 7.3.28 or later.")</f>
        <v>Upgrade to PHP version 7.3.28 or later.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30" t="str">
        <f>IFERROR(__xludf.DUMMYFUNCTION("""COMPUTED_VALUE"""),"57608")</f>
        <v>57608</v>
      </c>
      <c r="B47" s="22" t="str">
        <f>IFERROR(__xludf.DUMMYFUNCTION("""COMPUTED_VALUE"""),"SMB Signing not required")</f>
        <v>SMB Signing not required</v>
      </c>
      <c r="C47" s="21">
        <f>IFERROR(__xludf.DUMMYFUNCTION("""COMPUTED_VALUE"""),5.3)</f>
        <v>5.3</v>
      </c>
      <c r="D47" s="22" t="str">
        <f>IFERROR(__xludf.DUMMYFUNCTION("""COMPUTED_VALUE"""),"10.20.30.11")</f>
        <v>10.20.30.11</v>
      </c>
      <c r="E47" s="22" t="str">
        <f>IFERROR(__xludf.DUMMYFUNCTION("""COMPUTED_VALUE"""),"Enforce message signing in the host's configuration. On Windows, this is found in the policy setting 'Microsoft network server: Digitally sign communications (always)'. On Samba, the setting is called 'server signing'. See the 'see also' links for further"&amp;" details.")</f>
        <v>Enforce message signing in the host's configuration. On Windows, this is found in the policy setting 'Microsoft network server: Digitally sign communications (always)'. On Samba, the setting is called 'server signing'. See the 'see also' links for further details.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30" t="str">
        <f>IFERROR(__xludf.DUMMYFUNCTION("""COMPUTED_VALUE"""),"10114")</f>
        <v>10114</v>
      </c>
      <c r="B48" s="22" t="str">
        <f>IFERROR(__xludf.DUMMYFUNCTION("""COMPUTED_VALUE"""),"ICMP Timestamp Request Remote Date Disclosure")</f>
        <v>ICMP Timestamp Request Remote Date Disclosure</v>
      </c>
      <c r="C48" s="21">
        <f>IFERROR(__xludf.DUMMYFUNCTION("""COMPUTED_VALUE"""),2.1)</f>
        <v>2.1</v>
      </c>
      <c r="D48" s="22" t="str">
        <f>IFERROR(__xludf.DUMMYFUNCTION("""COMPUTED_VALUE"""),"10.20.30.11")</f>
        <v>10.20.30.11</v>
      </c>
      <c r="E48" s="22" t="str">
        <f>IFERROR(__xludf.DUMMYFUNCTION("""COMPUTED_VALUE"""),"Filter out the ICMP timestamp requests (13), and the outgoing ICMP timestamp replies (14).")</f>
        <v>Filter out the ICMP timestamp requests (13), and the outgoing ICMP timestamp replies (14).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</sheetData>
  <conditionalFormatting sqref="E1:F1">
    <cfRule type="expression" dxfId="0" priority="1">
      <formula>$B1="Critical"</formula>
    </cfRule>
  </conditionalFormatting>
  <conditionalFormatting sqref="E1:F1">
    <cfRule type="expression" dxfId="1" priority="2">
      <formula>$B1="High"</formula>
    </cfRule>
  </conditionalFormatting>
  <conditionalFormatting sqref="E1:F1">
    <cfRule type="expression" dxfId="2" priority="3">
      <formula>$B1="Medium"</formula>
    </cfRule>
  </conditionalFormatting>
  <conditionalFormatting sqref="E1:F1">
    <cfRule type="expression" dxfId="3" priority="4">
      <formula>$B1="Low"</formula>
    </cfRule>
  </conditionalFormatting>
  <conditionalFormatting sqref="E1:F1">
    <cfRule type="expression" dxfId="4" priority="5">
      <formula>$B1="Informational"</formula>
    </cfRule>
  </conditionalFormatting>
  <conditionalFormatting sqref="C1 E1:F1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